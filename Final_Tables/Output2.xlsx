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kri\Documents\European Forestry\MASTER_THESIS\Final_Analysis\Final_Tables\"/>
    </mc:Choice>
  </mc:AlternateContent>
  <xr:revisionPtr revIDLastSave="0" documentId="13_ncr:1_{870C033A-4F3D-4E23-AD9E-EFDCED0D818C}" xr6:coauthVersionLast="47" xr6:coauthVersionMax="47" xr10:uidLastSave="{00000000-0000-0000-0000-000000000000}"/>
  <bookViews>
    <workbookView xWindow="-108" yWindow="-108" windowWidth="23256" windowHeight="12456" activeTab="2" xr2:uid="{7499066B-0A82-42A2-8C6B-C9C47F888806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Sheet3!$E$2:$K$8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4" i="3" l="1"/>
  <c r="J204" i="3"/>
  <c r="I204" i="3"/>
  <c r="K192" i="3"/>
  <c r="J192" i="3"/>
  <c r="I192" i="3"/>
  <c r="K185" i="3"/>
  <c r="J185" i="3"/>
  <c r="I185" i="3"/>
  <c r="K168" i="3"/>
  <c r="J168" i="3"/>
  <c r="I168" i="3"/>
  <c r="K156" i="3"/>
  <c r="J156" i="3"/>
  <c r="I156" i="3"/>
  <c r="K149" i="3"/>
  <c r="J149" i="3"/>
  <c r="I149" i="3"/>
  <c r="K132" i="3"/>
  <c r="J132" i="3"/>
  <c r="I132" i="3"/>
  <c r="K120" i="3"/>
  <c r="J120" i="3"/>
  <c r="I120" i="3"/>
  <c r="K113" i="3"/>
  <c r="J113" i="3"/>
  <c r="I113" i="3"/>
  <c r="K96" i="3"/>
  <c r="J96" i="3"/>
  <c r="I96" i="3"/>
  <c r="K84" i="3"/>
  <c r="J84" i="3"/>
  <c r="I84" i="3"/>
  <c r="K77" i="3"/>
  <c r="J77" i="3"/>
  <c r="I77" i="3"/>
  <c r="K60" i="3"/>
  <c r="J60" i="3"/>
  <c r="I60" i="3"/>
  <c r="K48" i="3"/>
  <c r="J48" i="3"/>
  <c r="I48" i="3"/>
  <c r="K41" i="3"/>
  <c r="J41" i="3"/>
  <c r="I41" i="3"/>
  <c r="K24" i="3"/>
  <c r="J24" i="3"/>
  <c r="I24" i="3"/>
  <c r="K12" i="3"/>
  <c r="J12" i="3"/>
  <c r="I12" i="3"/>
  <c r="K5" i="3"/>
  <c r="J5" i="3"/>
  <c r="I5" i="3"/>
  <c r="K203" i="3" l="1"/>
  <c r="J203" i="3"/>
  <c r="I203" i="3"/>
  <c r="K191" i="3"/>
  <c r="J191" i="3"/>
  <c r="I191" i="3"/>
  <c r="J167" i="3"/>
  <c r="K167" i="3"/>
  <c r="I167" i="3"/>
  <c r="J155" i="3"/>
  <c r="K155" i="3"/>
  <c r="I155" i="3"/>
  <c r="K131" i="3"/>
  <c r="J131" i="3"/>
  <c r="I131" i="3"/>
  <c r="K119" i="3"/>
  <c r="J119" i="3"/>
  <c r="I119" i="3"/>
  <c r="K112" i="3"/>
  <c r="J112" i="3"/>
  <c r="J95" i="3"/>
  <c r="K95" i="3"/>
  <c r="I95" i="3"/>
  <c r="K83" i="3"/>
  <c r="J83" i="3"/>
  <c r="I83" i="3"/>
  <c r="I76" i="3"/>
  <c r="K76" i="3"/>
  <c r="J76" i="3"/>
  <c r="J59" i="3"/>
  <c r="K59" i="3"/>
  <c r="I59" i="3"/>
  <c r="I40" i="3"/>
  <c r="I47" i="3"/>
  <c r="J47" i="3"/>
  <c r="K47" i="3"/>
  <c r="K23" i="3"/>
  <c r="J23" i="3"/>
  <c r="I23" i="3"/>
  <c r="K184" i="3"/>
  <c r="J184" i="3"/>
  <c r="I184" i="3"/>
  <c r="K148" i="3"/>
  <c r="J148" i="3"/>
  <c r="I148" i="3"/>
  <c r="I112" i="3"/>
  <c r="K11" i="3"/>
  <c r="J11" i="3"/>
  <c r="I11" i="3"/>
  <c r="K40" i="3"/>
  <c r="J40" i="3"/>
  <c r="K4" i="3"/>
  <c r="J4" i="3"/>
  <c r="I4" i="3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4" i="2"/>
  <c r="G5" i="3"/>
  <c r="G6" i="3"/>
  <c r="G7" i="3"/>
  <c r="G8" i="3"/>
  <c r="G11" i="3"/>
  <c r="G12" i="3"/>
  <c r="G13" i="3"/>
  <c r="G14" i="3"/>
  <c r="G15" i="3"/>
  <c r="G16" i="3"/>
  <c r="G17" i="3"/>
  <c r="G18" i="3"/>
  <c r="G19" i="3"/>
  <c r="G20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40" i="3"/>
  <c r="G41" i="3"/>
  <c r="G42" i="3"/>
  <c r="G43" i="3"/>
  <c r="G44" i="3"/>
  <c r="G47" i="3"/>
  <c r="G48" i="3"/>
  <c r="G49" i="3"/>
  <c r="G50" i="3"/>
  <c r="G51" i="3"/>
  <c r="G52" i="3"/>
  <c r="G53" i="3"/>
  <c r="G54" i="3"/>
  <c r="G55" i="3"/>
  <c r="G56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6" i="3"/>
  <c r="G77" i="3"/>
  <c r="G78" i="3"/>
  <c r="G79" i="3"/>
  <c r="G80" i="3"/>
  <c r="G83" i="3"/>
  <c r="G84" i="3"/>
  <c r="G85" i="3"/>
  <c r="G86" i="3"/>
  <c r="G87" i="3"/>
  <c r="G88" i="3"/>
  <c r="G89" i="3"/>
  <c r="G90" i="3"/>
  <c r="G91" i="3"/>
  <c r="G92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2" i="3"/>
  <c r="G113" i="3"/>
  <c r="G114" i="3"/>
  <c r="G115" i="3"/>
  <c r="G116" i="3"/>
  <c r="G119" i="3"/>
  <c r="G120" i="3"/>
  <c r="G121" i="3"/>
  <c r="G122" i="3"/>
  <c r="G123" i="3"/>
  <c r="G124" i="3"/>
  <c r="G125" i="3"/>
  <c r="G126" i="3"/>
  <c r="G127" i="3"/>
  <c r="G128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8" i="3"/>
  <c r="G149" i="3"/>
  <c r="G150" i="3"/>
  <c r="G151" i="3"/>
  <c r="G152" i="3"/>
  <c r="G155" i="3"/>
  <c r="G156" i="3"/>
  <c r="G157" i="3"/>
  <c r="G158" i="3"/>
  <c r="G159" i="3"/>
  <c r="G160" i="3"/>
  <c r="G161" i="3"/>
  <c r="G162" i="3"/>
  <c r="G163" i="3"/>
  <c r="G164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4" i="3"/>
  <c r="G185" i="3"/>
  <c r="G186" i="3"/>
  <c r="G187" i="3"/>
  <c r="G188" i="3"/>
  <c r="G191" i="3"/>
  <c r="G192" i="3"/>
  <c r="G193" i="3"/>
  <c r="G194" i="3"/>
  <c r="G195" i="3"/>
  <c r="G196" i="3"/>
  <c r="G197" i="3"/>
  <c r="G198" i="3"/>
  <c r="G199" i="3"/>
  <c r="G200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4" i="2"/>
  <c r="H4" i="2"/>
  <c r="G4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</calcChain>
</file>

<file path=xl/sharedStrings.xml><?xml version="1.0" encoding="utf-8"?>
<sst xmlns="http://schemas.openxmlformats.org/spreadsheetml/2006/main" count="497" uniqueCount="26">
  <si>
    <t xml:space="preserve">VARIANT </t>
  </si>
  <si>
    <t>Cluster</t>
  </si>
  <si>
    <t>Dispersion value</t>
  </si>
  <si>
    <t>Window Size</t>
  </si>
  <si>
    <t>No. of Clusters</t>
  </si>
  <si>
    <t>Linkage</t>
  </si>
  <si>
    <t>Ward.D2</t>
  </si>
  <si>
    <t>Complete</t>
  </si>
  <si>
    <t>Species Compostion Score</t>
  </si>
  <si>
    <t>Normalized Spp Comp Score</t>
  </si>
  <si>
    <t>Cluster Area</t>
  </si>
  <si>
    <t>Average Patch Size ≥ 1ha</t>
  </si>
  <si>
    <t>Normalized Dispersion Score</t>
  </si>
  <si>
    <r>
      <t xml:space="preserve">Aggregation of Normalized Metrics </t>
    </r>
    <r>
      <rPr>
        <sz val="14"/>
        <rFont val="Aptos Narrow"/>
        <family val="2"/>
        <scheme val="minor"/>
      </rPr>
      <t xml:space="preserve">(using </t>
    </r>
    <r>
      <rPr>
        <sz val="14"/>
        <color rgb="FFFF0000"/>
        <rFont val="Aptos Narrow"/>
        <family val="2"/>
        <scheme val="minor"/>
      </rPr>
      <t>equal weights</t>
    </r>
    <r>
      <rPr>
        <sz val="14"/>
        <rFont val="Aptos Narrow"/>
        <family val="2"/>
        <scheme val="minor"/>
      </rPr>
      <t>)</t>
    </r>
  </si>
  <si>
    <t>Aggregated Score</t>
  </si>
  <si>
    <t>Area</t>
  </si>
  <si>
    <t>Bad</t>
  </si>
  <si>
    <t>Intermediate</t>
  </si>
  <si>
    <t>Excellent</t>
  </si>
  <si>
    <t>% of Usefulness of the Area</t>
  </si>
  <si>
    <r>
      <t xml:space="preserve">Aggregated Score corresponds to the </t>
    </r>
    <r>
      <rPr>
        <sz val="11"/>
        <color rgb="FFFF0000"/>
        <rFont val="Aptos Narrow"/>
        <family val="2"/>
        <scheme val="minor"/>
      </rPr>
      <t>index of Usefulness</t>
    </r>
    <r>
      <rPr>
        <sz val="11"/>
        <color theme="1"/>
        <rFont val="Aptos Narrow"/>
        <family val="2"/>
        <scheme val="minor"/>
      </rPr>
      <t xml:space="preserve"> for each cluster in a variant</t>
    </r>
  </si>
  <si>
    <r>
      <t xml:space="preserve">Assigns each index to a category                                                  </t>
    </r>
    <r>
      <rPr>
        <sz val="11"/>
        <color rgb="FFFF0000"/>
        <rFont val="Aptos Narrow"/>
        <family val="2"/>
        <scheme val="minor"/>
      </rPr>
      <t>Bad:</t>
    </r>
    <r>
      <rPr>
        <sz val="11"/>
        <color theme="1"/>
        <rFont val="Aptos Narrow"/>
        <family val="2"/>
        <scheme val="minor"/>
      </rPr>
      <t xml:space="preserve"> &lt; 0.25, </t>
    </r>
    <r>
      <rPr>
        <sz val="11"/>
        <color rgb="FFFF0000"/>
        <rFont val="Aptos Narrow"/>
        <family val="2"/>
        <scheme val="minor"/>
      </rPr>
      <t>Intermediate:</t>
    </r>
    <r>
      <rPr>
        <sz val="11"/>
        <color theme="1"/>
        <rFont val="Aptos Narrow"/>
        <family val="2"/>
        <scheme val="minor"/>
      </rPr>
      <t xml:space="preserve"> 0.25 – 0.75, </t>
    </r>
    <r>
      <rPr>
        <sz val="11"/>
        <color rgb="FFFF0000"/>
        <rFont val="Aptos Narrow"/>
        <family val="2"/>
        <scheme val="minor"/>
      </rPr>
      <t>Excellent:</t>
    </r>
    <r>
      <rPr>
        <sz val="11"/>
        <color theme="1"/>
        <rFont val="Aptos Narrow"/>
        <family val="2"/>
        <scheme val="minor"/>
      </rPr>
      <t xml:space="preserve"> &gt; 0.75</t>
    </r>
  </si>
  <si>
    <t>Category</t>
  </si>
  <si>
    <t>1/2(Normalized Dispersion Score + Normalized Spp Comp Score)</t>
  </si>
  <si>
    <t>Cluster Area (ha)</t>
  </si>
  <si>
    <t>Area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</si>
</sst>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4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1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0" applyNumberFormat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wrapText="1"/>
    </xf>
    <xf numFmtId="0" fontId="3" fillId="0" borderId="0" xfId="0" applyFont="1"/>
    <xf numFmtId="0" fontId="0" fillId="2" borderId="0" xfId="0" applyFill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1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2" fillId="0" borderId="0" xfId="0" applyFont="1"/>
    <xf numFmtId="0" fontId="13" fillId="4" borderId="0" xfId="2" applyAlignment="1">
      <alignment wrapText="1"/>
    </xf>
    <xf numFmtId="0" fontId="14" fillId="5" borderId="0" xfId="3" applyAlignment="1">
      <alignment wrapText="1"/>
    </xf>
    <xf numFmtId="0" fontId="11" fillId="3" borderId="0" xfId="1"/>
    <xf numFmtId="0" fontId="14" fillId="5" borderId="0" xfId="3"/>
    <xf numFmtId="0" fontId="13" fillId="4" borderId="0" xfId="2"/>
    <xf numFmtId="10" fontId="0" fillId="0" borderId="0" xfId="0" applyNumberFormat="1"/>
    <xf numFmtId="0" fontId="2" fillId="0" borderId="0" xfId="0" applyFont="1" applyAlignment="1">
      <alignment horizontal="center"/>
    </xf>
  </cellXfs>
  <cellStyles count="4"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7725-FB5F-4768-A62B-86D1CC68A24E}">
  <dimension ref="A1:H217"/>
  <sheetViews>
    <sheetView topLeftCell="A210" workbookViewId="0">
      <selection activeCell="J92" sqref="J92"/>
    </sheetView>
  </sheetViews>
  <sheetFormatPr defaultRowHeight="14.4" x14ac:dyDescent="0.3"/>
  <cols>
    <col min="1" max="1" width="17.109375" bestFit="1" customWidth="1"/>
    <col min="2" max="2" width="9.6640625" bestFit="1" customWidth="1"/>
    <col min="4" max="4" width="20.77734375" customWidth="1"/>
    <col min="5" max="5" width="18.5546875" customWidth="1"/>
    <col min="6" max="6" width="25.77734375" bestFit="1" customWidth="1"/>
    <col min="7" max="7" width="33.5546875" bestFit="1" customWidth="1"/>
    <col min="8" max="8" width="12.44140625" bestFit="1" customWidth="1"/>
  </cols>
  <sheetData>
    <row r="1" spans="1:8" ht="59.4" customHeight="1" x14ac:dyDescent="0.3">
      <c r="A1" s="1"/>
      <c r="B1" s="2"/>
      <c r="E1" s="3"/>
      <c r="F1" s="10"/>
    </row>
    <row r="2" spans="1:8" x14ac:dyDescent="0.3">
      <c r="A2" s="5"/>
      <c r="B2" s="5"/>
      <c r="C2" s="5"/>
      <c r="D2" s="5"/>
      <c r="E2" s="5"/>
      <c r="F2" s="5"/>
      <c r="G2" s="5"/>
    </row>
    <row r="3" spans="1:8" x14ac:dyDescent="0.3">
      <c r="A3" s="4" t="s">
        <v>0</v>
      </c>
      <c r="B3" s="4">
        <v>1</v>
      </c>
      <c r="D3" s="6" t="s">
        <v>1</v>
      </c>
      <c r="E3" s="7" t="s">
        <v>2</v>
      </c>
      <c r="F3" s="6" t="s">
        <v>8</v>
      </c>
      <c r="G3" s="6" t="s">
        <v>11</v>
      </c>
      <c r="H3" s="6" t="s">
        <v>10</v>
      </c>
    </row>
    <row r="4" spans="1:8" x14ac:dyDescent="0.3">
      <c r="A4" s="8" t="s">
        <v>3</v>
      </c>
      <c r="B4" s="8">
        <v>5</v>
      </c>
      <c r="D4">
        <v>1</v>
      </c>
      <c r="E4">
        <v>8.3333333333333339</v>
      </c>
      <c r="F4">
        <v>9</v>
      </c>
      <c r="G4">
        <v>6.1623380000000001</v>
      </c>
      <c r="H4">
        <v>537</v>
      </c>
    </row>
    <row r="5" spans="1:8" x14ac:dyDescent="0.3">
      <c r="A5" s="8" t="s">
        <v>4</v>
      </c>
      <c r="B5" s="8">
        <v>5</v>
      </c>
      <c r="D5">
        <v>2</v>
      </c>
      <c r="E5">
        <v>6</v>
      </c>
      <c r="F5">
        <v>9</v>
      </c>
      <c r="G5">
        <v>8.4960939999999994</v>
      </c>
      <c r="H5">
        <v>615.5</v>
      </c>
    </row>
    <row r="6" spans="1:8" x14ac:dyDescent="0.3">
      <c r="A6" s="8" t="s">
        <v>5</v>
      </c>
      <c r="B6" s="8" t="s">
        <v>6</v>
      </c>
      <c r="D6">
        <v>3</v>
      </c>
      <c r="E6">
        <v>5.666666666666667</v>
      </c>
      <c r="F6">
        <v>8</v>
      </c>
      <c r="G6">
        <v>9.5797869999999996</v>
      </c>
      <c r="H6">
        <v>515.5</v>
      </c>
    </row>
    <row r="7" spans="1:8" x14ac:dyDescent="0.3">
      <c r="D7">
        <v>4</v>
      </c>
      <c r="E7">
        <v>4.5</v>
      </c>
      <c r="F7">
        <v>9</v>
      </c>
      <c r="G7">
        <v>4.6863640000000002</v>
      </c>
      <c r="H7">
        <v>308.25</v>
      </c>
    </row>
    <row r="8" spans="1:8" x14ac:dyDescent="0.3">
      <c r="D8">
        <v>5</v>
      </c>
      <c r="E8">
        <v>5.333333333333333</v>
      </c>
      <c r="F8">
        <v>9</v>
      </c>
      <c r="G8">
        <v>5.1235629999999999</v>
      </c>
      <c r="H8">
        <v>525.5</v>
      </c>
    </row>
    <row r="9" spans="1:8" x14ac:dyDescent="0.3">
      <c r="A9" s="5"/>
      <c r="B9" s="5"/>
      <c r="C9" s="5"/>
      <c r="D9" s="5"/>
      <c r="E9" s="5"/>
      <c r="F9" s="5"/>
      <c r="G9" s="5"/>
    </row>
    <row r="10" spans="1:8" x14ac:dyDescent="0.3">
      <c r="A10" s="4" t="s">
        <v>0</v>
      </c>
      <c r="B10" s="4">
        <v>2</v>
      </c>
      <c r="D10" s="6" t="s">
        <v>1</v>
      </c>
      <c r="E10" s="7" t="s">
        <v>2</v>
      </c>
      <c r="F10" s="6" t="s">
        <v>8</v>
      </c>
      <c r="G10" s="6" t="s">
        <v>11</v>
      </c>
      <c r="H10" s="6" t="s">
        <v>10</v>
      </c>
    </row>
    <row r="11" spans="1:8" x14ac:dyDescent="0.3">
      <c r="A11" s="8" t="s">
        <v>3</v>
      </c>
      <c r="B11" s="8">
        <v>5</v>
      </c>
      <c r="D11">
        <v>1</v>
      </c>
      <c r="E11" s="15">
        <v>8.1666666666666661</v>
      </c>
      <c r="F11">
        <v>7</v>
      </c>
      <c r="G11">
        <v>5.1294639999999996</v>
      </c>
      <c r="H11">
        <v>352.75</v>
      </c>
    </row>
    <row r="12" spans="1:8" x14ac:dyDescent="0.3">
      <c r="A12" s="8" t="s">
        <v>4</v>
      </c>
      <c r="B12" s="8">
        <v>10</v>
      </c>
      <c r="D12">
        <v>2</v>
      </c>
      <c r="E12" s="15">
        <v>7.5</v>
      </c>
      <c r="F12">
        <v>9</v>
      </c>
      <c r="G12">
        <v>5.155405</v>
      </c>
      <c r="H12">
        <v>470</v>
      </c>
    </row>
    <row r="13" spans="1:8" x14ac:dyDescent="0.3">
      <c r="A13" s="8" t="s">
        <v>5</v>
      </c>
      <c r="B13" s="8" t="s">
        <v>6</v>
      </c>
      <c r="D13">
        <v>3</v>
      </c>
      <c r="E13" s="15">
        <v>7.333333333333333</v>
      </c>
      <c r="F13">
        <v>8</v>
      </c>
      <c r="G13">
        <v>4.8106059999999999</v>
      </c>
      <c r="H13">
        <v>214</v>
      </c>
    </row>
    <row r="14" spans="1:8" x14ac:dyDescent="0.3">
      <c r="D14">
        <v>4</v>
      </c>
      <c r="E14" s="15">
        <v>6.333333333333333</v>
      </c>
      <c r="F14">
        <v>8</v>
      </c>
      <c r="G14">
        <v>3.625</v>
      </c>
      <c r="H14">
        <v>301.5</v>
      </c>
    </row>
    <row r="15" spans="1:8" x14ac:dyDescent="0.3">
      <c r="D15">
        <v>5</v>
      </c>
      <c r="E15" s="15">
        <v>7.833333333333333</v>
      </c>
      <c r="F15">
        <v>9</v>
      </c>
      <c r="G15">
        <v>2.9358970000000002</v>
      </c>
      <c r="H15">
        <v>145.5</v>
      </c>
    </row>
    <row r="16" spans="1:8" x14ac:dyDescent="0.3">
      <c r="D16">
        <v>6</v>
      </c>
      <c r="E16" s="15">
        <v>5.166666666666667</v>
      </c>
      <c r="F16">
        <v>9</v>
      </c>
      <c r="G16">
        <v>2.545455</v>
      </c>
      <c r="H16">
        <v>84.25</v>
      </c>
    </row>
    <row r="17" spans="1:8" x14ac:dyDescent="0.3">
      <c r="D17">
        <v>7</v>
      </c>
      <c r="E17" s="15">
        <v>6</v>
      </c>
      <c r="F17">
        <v>9</v>
      </c>
      <c r="G17">
        <v>2.5249999999999999</v>
      </c>
      <c r="H17">
        <v>307.75</v>
      </c>
    </row>
    <row r="18" spans="1:8" x14ac:dyDescent="0.3">
      <c r="D18">
        <v>8</v>
      </c>
      <c r="E18" s="15">
        <v>9.1666666666666661</v>
      </c>
      <c r="F18">
        <v>9</v>
      </c>
      <c r="G18">
        <v>1.5863640000000001</v>
      </c>
      <c r="H18">
        <v>184.25</v>
      </c>
    </row>
    <row r="19" spans="1:8" x14ac:dyDescent="0.3">
      <c r="D19">
        <v>9</v>
      </c>
      <c r="E19" s="15">
        <v>7.833333333333333</v>
      </c>
      <c r="F19">
        <v>9</v>
      </c>
      <c r="G19">
        <v>2.7727270000000002</v>
      </c>
      <c r="H19">
        <v>217.75</v>
      </c>
    </row>
    <row r="20" spans="1:8" x14ac:dyDescent="0.3">
      <c r="D20">
        <v>10</v>
      </c>
      <c r="E20" s="15">
        <v>6.833333333333333</v>
      </c>
      <c r="F20">
        <v>10</v>
      </c>
      <c r="G20">
        <v>4.7565790000000003</v>
      </c>
      <c r="H20">
        <v>224</v>
      </c>
    </row>
    <row r="21" spans="1:8" x14ac:dyDescent="0.3">
      <c r="A21" s="5"/>
      <c r="B21" s="5"/>
      <c r="C21" s="5"/>
      <c r="D21" s="5"/>
      <c r="E21" s="5"/>
      <c r="F21" s="5"/>
      <c r="G21" s="5"/>
    </row>
    <row r="22" spans="1:8" x14ac:dyDescent="0.3">
      <c r="A22" s="4" t="s">
        <v>0</v>
      </c>
      <c r="B22" s="4">
        <v>3</v>
      </c>
      <c r="D22" s="6" t="s">
        <v>1</v>
      </c>
      <c r="E22" s="7" t="s">
        <v>2</v>
      </c>
      <c r="F22" s="6" t="s">
        <v>8</v>
      </c>
      <c r="G22" s="6" t="s">
        <v>11</v>
      </c>
      <c r="H22" s="6" t="s">
        <v>10</v>
      </c>
    </row>
    <row r="23" spans="1:8" x14ac:dyDescent="0.3">
      <c r="A23" s="8" t="s">
        <v>3</v>
      </c>
      <c r="B23" s="8">
        <v>5</v>
      </c>
      <c r="D23">
        <v>1</v>
      </c>
      <c r="E23">
        <v>7.166666666666667</v>
      </c>
      <c r="F23">
        <v>7</v>
      </c>
      <c r="G23">
        <v>4.8125</v>
      </c>
      <c r="H23">
        <v>298.25</v>
      </c>
    </row>
    <row r="24" spans="1:8" x14ac:dyDescent="0.3">
      <c r="A24" s="8" t="s">
        <v>4</v>
      </c>
      <c r="B24" s="8">
        <v>15</v>
      </c>
      <c r="D24">
        <v>2</v>
      </c>
      <c r="E24">
        <v>8</v>
      </c>
      <c r="F24">
        <v>9</v>
      </c>
      <c r="G24">
        <v>1.9836956521739131</v>
      </c>
      <c r="H24">
        <v>182</v>
      </c>
    </row>
    <row r="25" spans="1:8" x14ac:dyDescent="0.3">
      <c r="A25" s="8" t="s">
        <v>5</v>
      </c>
      <c r="B25" s="8" t="s">
        <v>6</v>
      </c>
      <c r="D25">
        <v>3</v>
      </c>
      <c r="E25">
        <v>6.666666666666667</v>
      </c>
      <c r="F25">
        <v>8</v>
      </c>
      <c r="G25">
        <v>1.862903225806452</v>
      </c>
      <c r="H25">
        <v>114.25</v>
      </c>
    </row>
    <row r="26" spans="1:8" x14ac:dyDescent="0.3">
      <c r="D26">
        <v>4</v>
      </c>
      <c r="E26">
        <v>6.166666666666667</v>
      </c>
      <c r="F26">
        <v>8</v>
      </c>
      <c r="G26">
        <v>1.971428571428572</v>
      </c>
      <c r="H26">
        <v>141.5</v>
      </c>
    </row>
    <row r="27" spans="1:8" x14ac:dyDescent="0.3">
      <c r="D27">
        <v>5</v>
      </c>
      <c r="E27">
        <v>7.166666666666667</v>
      </c>
      <c r="F27">
        <v>9</v>
      </c>
      <c r="G27">
        <v>2.9358974358974361</v>
      </c>
      <c r="H27">
        <v>145.5</v>
      </c>
    </row>
    <row r="28" spans="1:8" x14ac:dyDescent="0.3">
      <c r="D28">
        <v>6</v>
      </c>
      <c r="E28">
        <v>8</v>
      </c>
      <c r="F28">
        <v>7</v>
      </c>
      <c r="G28">
        <v>1.8510638297872339</v>
      </c>
      <c r="H28">
        <v>160</v>
      </c>
    </row>
    <row r="29" spans="1:8" x14ac:dyDescent="0.3">
      <c r="D29">
        <v>7</v>
      </c>
      <c r="E29">
        <v>9</v>
      </c>
      <c r="F29">
        <v>8</v>
      </c>
      <c r="G29">
        <v>3.0249999999999999</v>
      </c>
      <c r="H29">
        <v>54.5</v>
      </c>
    </row>
    <row r="30" spans="1:8" x14ac:dyDescent="0.3">
      <c r="D30">
        <v>8</v>
      </c>
      <c r="E30">
        <v>6.166666666666667</v>
      </c>
      <c r="F30">
        <v>9</v>
      </c>
      <c r="G30">
        <v>2.545454545454545</v>
      </c>
      <c r="H30">
        <v>84.25</v>
      </c>
    </row>
    <row r="31" spans="1:8" x14ac:dyDescent="0.3">
      <c r="D31">
        <v>9</v>
      </c>
      <c r="E31">
        <v>8</v>
      </c>
      <c r="F31">
        <v>9</v>
      </c>
      <c r="G31">
        <v>3.745454545454546</v>
      </c>
      <c r="H31">
        <v>288</v>
      </c>
    </row>
    <row r="32" spans="1:8" x14ac:dyDescent="0.3">
      <c r="D32">
        <v>10</v>
      </c>
      <c r="E32">
        <v>8</v>
      </c>
      <c r="F32">
        <v>8</v>
      </c>
      <c r="G32">
        <v>2.0161290322580649</v>
      </c>
      <c r="H32">
        <v>231.75</v>
      </c>
    </row>
    <row r="33" spans="1:8" x14ac:dyDescent="0.3">
      <c r="D33">
        <v>11</v>
      </c>
      <c r="E33">
        <v>8.5</v>
      </c>
      <c r="F33">
        <v>9</v>
      </c>
      <c r="G33">
        <v>1.586363636363636</v>
      </c>
      <c r="H33">
        <v>184.25</v>
      </c>
    </row>
    <row r="34" spans="1:8" x14ac:dyDescent="0.3">
      <c r="D34">
        <v>12</v>
      </c>
      <c r="E34">
        <v>8.1666666666666661</v>
      </c>
      <c r="F34">
        <v>9</v>
      </c>
      <c r="G34">
        <v>2.7727272727272729</v>
      </c>
      <c r="H34">
        <v>217.75</v>
      </c>
    </row>
    <row r="35" spans="1:8" x14ac:dyDescent="0.3">
      <c r="D35">
        <v>13</v>
      </c>
      <c r="E35">
        <v>6.833333333333333</v>
      </c>
      <c r="F35">
        <v>9</v>
      </c>
      <c r="G35">
        <v>4.7565789473684212</v>
      </c>
      <c r="H35">
        <v>224</v>
      </c>
    </row>
    <row r="36" spans="1:8" x14ac:dyDescent="0.3">
      <c r="D36">
        <v>14</v>
      </c>
      <c r="E36">
        <v>6.666666666666667</v>
      </c>
      <c r="F36">
        <v>8</v>
      </c>
      <c r="G36">
        <v>2.25</v>
      </c>
      <c r="H36">
        <v>76</v>
      </c>
    </row>
    <row r="37" spans="1:8" x14ac:dyDescent="0.3">
      <c r="D37">
        <v>15</v>
      </c>
      <c r="E37">
        <v>6.333333333333333</v>
      </c>
      <c r="F37">
        <v>8</v>
      </c>
      <c r="G37">
        <v>3.916666666666667</v>
      </c>
      <c r="H37">
        <v>99.75</v>
      </c>
    </row>
    <row r="38" spans="1:8" x14ac:dyDescent="0.3">
      <c r="A38" s="5"/>
      <c r="B38" s="5"/>
      <c r="C38" s="5"/>
      <c r="D38" s="5"/>
      <c r="E38" s="5"/>
      <c r="F38" s="5"/>
      <c r="G38" s="5"/>
    </row>
    <row r="39" spans="1:8" x14ac:dyDescent="0.3">
      <c r="A39" s="4" t="s">
        <v>0</v>
      </c>
      <c r="B39" s="4">
        <v>4</v>
      </c>
      <c r="D39" s="6" t="s">
        <v>1</v>
      </c>
      <c r="E39" s="7" t="s">
        <v>2</v>
      </c>
      <c r="F39" s="6" t="s">
        <v>8</v>
      </c>
      <c r="G39" s="6" t="s">
        <v>11</v>
      </c>
      <c r="H39" s="6" t="s">
        <v>10</v>
      </c>
    </row>
    <row r="40" spans="1:8" x14ac:dyDescent="0.3">
      <c r="A40" s="8" t="s">
        <v>3</v>
      </c>
      <c r="B40" s="8">
        <v>5</v>
      </c>
      <c r="D40">
        <v>1</v>
      </c>
      <c r="E40">
        <v>7.333333333333333</v>
      </c>
      <c r="F40">
        <v>7</v>
      </c>
      <c r="G40">
        <v>5.1188524590163933</v>
      </c>
      <c r="H40">
        <v>379.25</v>
      </c>
    </row>
    <row r="41" spans="1:8" x14ac:dyDescent="0.3">
      <c r="A41" s="8" t="s">
        <v>4</v>
      </c>
      <c r="B41" s="8">
        <v>5</v>
      </c>
      <c r="D41">
        <v>2</v>
      </c>
      <c r="E41">
        <v>2.6666666666666665</v>
      </c>
      <c r="F41">
        <v>8</v>
      </c>
      <c r="G41">
        <v>270.96428571428572</v>
      </c>
      <c r="H41">
        <v>1910.75</v>
      </c>
    </row>
    <row r="42" spans="1:8" x14ac:dyDescent="0.3">
      <c r="A42" s="8" t="s">
        <v>5</v>
      </c>
      <c r="B42" s="8" t="s">
        <v>7</v>
      </c>
      <c r="D42">
        <v>3</v>
      </c>
      <c r="E42">
        <v>6.5</v>
      </c>
      <c r="F42">
        <v>7</v>
      </c>
      <c r="G42">
        <v>2.9519230769230771</v>
      </c>
      <c r="H42">
        <v>149.5</v>
      </c>
    </row>
    <row r="43" spans="1:8" x14ac:dyDescent="0.3">
      <c r="D43">
        <v>4</v>
      </c>
      <c r="E43">
        <v>7.833333333333333</v>
      </c>
      <c r="F43">
        <v>7</v>
      </c>
      <c r="G43">
        <v>1</v>
      </c>
      <c r="H43">
        <v>24.5</v>
      </c>
    </row>
    <row r="44" spans="1:8" x14ac:dyDescent="0.3">
      <c r="D44">
        <v>5</v>
      </c>
      <c r="E44">
        <v>6.166666666666667</v>
      </c>
      <c r="F44">
        <v>8</v>
      </c>
      <c r="G44">
        <v>1.7777777777777779</v>
      </c>
      <c r="H44">
        <v>37.75</v>
      </c>
    </row>
    <row r="45" spans="1:8" x14ac:dyDescent="0.3">
      <c r="A45" s="5"/>
      <c r="B45" s="5"/>
      <c r="C45" s="5"/>
      <c r="D45" s="5"/>
      <c r="E45" s="5"/>
      <c r="F45" s="5"/>
      <c r="G45" s="5"/>
    </row>
    <row r="46" spans="1:8" x14ac:dyDescent="0.3">
      <c r="A46" s="4" t="s">
        <v>0</v>
      </c>
      <c r="B46" s="4">
        <v>5</v>
      </c>
      <c r="D46" s="6" t="s">
        <v>1</v>
      </c>
      <c r="E46" s="7" t="s">
        <v>2</v>
      </c>
      <c r="F46" s="6" t="s">
        <v>8</v>
      </c>
      <c r="G46" s="6" t="s">
        <v>11</v>
      </c>
      <c r="H46" s="6" t="s">
        <v>10</v>
      </c>
    </row>
    <row r="47" spans="1:8" x14ac:dyDescent="0.3">
      <c r="A47" s="8" t="s">
        <v>3</v>
      </c>
      <c r="B47" s="8">
        <v>5</v>
      </c>
      <c r="D47">
        <v>1</v>
      </c>
      <c r="E47">
        <v>7.333333333333333</v>
      </c>
      <c r="F47">
        <v>8</v>
      </c>
      <c r="G47">
        <v>5.3114035087719298</v>
      </c>
      <c r="H47">
        <v>372.75</v>
      </c>
    </row>
    <row r="48" spans="1:8" x14ac:dyDescent="0.3">
      <c r="A48" s="8" t="s">
        <v>4</v>
      </c>
      <c r="B48" s="8">
        <v>10</v>
      </c>
      <c r="D48">
        <v>2</v>
      </c>
      <c r="E48">
        <v>2.8333333333333335</v>
      </c>
      <c r="F48">
        <v>8</v>
      </c>
      <c r="G48">
        <v>57.08653846153846</v>
      </c>
      <c r="H48">
        <v>1518.5</v>
      </c>
    </row>
    <row r="49" spans="1:8" x14ac:dyDescent="0.3">
      <c r="A49" s="8" t="s">
        <v>5</v>
      </c>
      <c r="B49" s="8" t="s">
        <v>7</v>
      </c>
      <c r="D49">
        <v>3</v>
      </c>
      <c r="E49">
        <v>6.333333333333333</v>
      </c>
      <c r="F49">
        <v>6</v>
      </c>
      <c r="G49">
        <v>2.9519230769230771</v>
      </c>
      <c r="H49">
        <v>149.5</v>
      </c>
    </row>
    <row r="50" spans="1:8" x14ac:dyDescent="0.3">
      <c r="D50">
        <v>4</v>
      </c>
      <c r="E50">
        <v>6.833333333333333</v>
      </c>
      <c r="F50">
        <v>5</v>
      </c>
      <c r="G50">
        <v>1.7071428571428571</v>
      </c>
      <c r="H50">
        <v>131.5</v>
      </c>
    </row>
    <row r="51" spans="1:8" x14ac:dyDescent="0.3">
      <c r="D51">
        <v>5</v>
      </c>
      <c r="E51">
        <v>5.333333333333333</v>
      </c>
      <c r="F51">
        <v>9</v>
      </c>
      <c r="G51">
        <v>2.9078947368421049</v>
      </c>
      <c r="H51">
        <v>185</v>
      </c>
    </row>
    <row r="52" spans="1:8" x14ac:dyDescent="0.3">
      <c r="D52">
        <v>6</v>
      </c>
      <c r="E52">
        <v>4.666666666666667</v>
      </c>
      <c r="F52">
        <v>7</v>
      </c>
      <c r="G52">
        <v>2.2272727272727271</v>
      </c>
      <c r="H52">
        <v>75.75</v>
      </c>
    </row>
    <row r="53" spans="1:8" x14ac:dyDescent="0.3">
      <c r="D53">
        <v>7</v>
      </c>
      <c r="E53">
        <v>8.5</v>
      </c>
      <c r="F53">
        <v>8</v>
      </c>
      <c r="G53">
        <v>0</v>
      </c>
      <c r="H53">
        <v>17.5</v>
      </c>
    </row>
    <row r="54" spans="1:8" x14ac:dyDescent="0.3">
      <c r="D54">
        <v>8</v>
      </c>
      <c r="E54">
        <v>7.5</v>
      </c>
      <c r="F54">
        <v>6</v>
      </c>
      <c r="G54">
        <v>1.7777777777777779</v>
      </c>
      <c r="H54">
        <v>37.75</v>
      </c>
    </row>
    <row r="55" spans="1:8" x14ac:dyDescent="0.3">
      <c r="D55">
        <v>9</v>
      </c>
      <c r="E55">
        <v>9.3333333333333339</v>
      </c>
      <c r="F55">
        <v>7</v>
      </c>
      <c r="G55">
        <v>1</v>
      </c>
      <c r="H55">
        <v>6.5</v>
      </c>
    </row>
    <row r="56" spans="1:8" x14ac:dyDescent="0.3">
      <c r="D56">
        <v>10</v>
      </c>
      <c r="E56">
        <v>8.3333333333333339</v>
      </c>
      <c r="F56">
        <v>8</v>
      </c>
      <c r="G56">
        <v>0</v>
      </c>
      <c r="H56">
        <v>7</v>
      </c>
    </row>
    <row r="57" spans="1:8" x14ac:dyDescent="0.3">
      <c r="A57" s="5"/>
      <c r="B57" s="5"/>
      <c r="C57" s="5"/>
      <c r="D57" s="5"/>
      <c r="E57" s="5"/>
      <c r="F57" s="5"/>
      <c r="G57" s="5"/>
    </row>
    <row r="58" spans="1:8" x14ac:dyDescent="0.3">
      <c r="A58" s="4" t="s">
        <v>0</v>
      </c>
      <c r="B58" s="4">
        <v>6</v>
      </c>
      <c r="D58" s="6" t="s">
        <v>1</v>
      </c>
      <c r="E58" s="7" t="s">
        <v>2</v>
      </c>
      <c r="F58" s="6" t="s">
        <v>8</v>
      </c>
      <c r="G58" s="6" t="s">
        <v>11</v>
      </c>
      <c r="H58" s="6" t="s">
        <v>10</v>
      </c>
    </row>
    <row r="59" spans="1:8" x14ac:dyDescent="0.3">
      <c r="A59" s="8" t="s">
        <v>3</v>
      </c>
      <c r="B59" s="8">
        <v>5</v>
      </c>
      <c r="D59">
        <v>1</v>
      </c>
      <c r="E59">
        <v>6.5</v>
      </c>
      <c r="F59">
        <v>9</v>
      </c>
      <c r="G59">
        <v>5.3114035087719298</v>
      </c>
      <c r="H59">
        <v>372.75</v>
      </c>
    </row>
    <row r="60" spans="1:8" x14ac:dyDescent="0.3">
      <c r="A60" s="8" t="s">
        <v>4</v>
      </c>
      <c r="B60" s="8">
        <v>15</v>
      </c>
      <c r="D60">
        <v>2</v>
      </c>
      <c r="E60">
        <v>2.3333333333333335</v>
      </c>
      <c r="F60">
        <v>9</v>
      </c>
      <c r="G60">
        <v>57.08653846153846</v>
      </c>
      <c r="H60">
        <v>1518.5</v>
      </c>
    </row>
    <row r="61" spans="1:8" x14ac:dyDescent="0.3">
      <c r="A61" s="8" t="s">
        <v>5</v>
      </c>
      <c r="B61" s="8" t="s">
        <v>7</v>
      </c>
      <c r="D61">
        <v>3</v>
      </c>
      <c r="E61">
        <v>5.833333333333333</v>
      </c>
      <c r="F61">
        <v>7</v>
      </c>
      <c r="G61">
        <v>2.9519230769230771</v>
      </c>
      <c r="H61">
        <v>149.5</v>
      </c>
    </row>
    <row r="62" spans="1:8" x14ac:dyDescent="0.3">
      <c r="D62">
        <v>4</v>
      </c>
      <c r="E62">
        <v>6.166666666666667</v>
      </c>
      <c r="F62">
        <v>6</v>
      </c>
      <c r="G62">
        <v>1.7071428571428571</v>
      </c>
      <c r="H62">
        <v>131.5</v>
      </c>
    </row>
    <row r="63" spans="1:8" x14ac:dyDescent="0.3">
      <c r="D63">
        <v>5</v>
      </c>
      <c r="E63">
        <v>7.5</v>
      </c>
      <c r="F63">
        <v>8</v>
      </c>
      <c r="G63">
        <v>1.8125</v>
      </c>
      <c r="H63">
        <v>58.5</v>
      </c>
    </row>
    <row r="64" spans="1:8" x14ac:dyDescent="0.3">
      <c r="D64">
        <v>6</v>
      </c>
      <c r="E64">
        <v>8.1666666666666661</v>
      </c>
      <c r="F64">
        <v>9</v>
      </c>
      <c r="G64">
        <v>2.9615384615384621</v>
      </c>
      <c r="H64">
        <v>61.5</v>
      </c>
    </row>
    <row r="65" spans="1:8" x14ac:dyDescent="0.3">
      <c r="D65">
        <v>7</v>
      </c>
      <c r="E65">
        <v>8.5</v>
      </c>
      <c r="F65">
        <v>8</v>
      </c>
      <c r="G65">
        <v>1.75</v>
      </c>
      <c r="H65">
        <v>29.25</v>
      </c>
    </row>
    <row r="66" spans="1:8" x14ac:dyDescent="0.3">
      <c r="D66">
        <v>8</v>
      </c>
      <c r="E66">
        <v>7</v>
      </c>
      <c r="F66">
        <v>9</v>
      </c>
      <c r="G66">
        <v>2.333333333333333</v>
      </c>
      <c r="H66">
        <v>46.75</v>
      </c>
    </row>
    <row r="67" spans="1:8" x14ac:dyDescent="0.3">
      <c r="D67">
        <v>9</v>
      </c>
      <c r="E67">
        <v>8.6666666666666661</v>
      </c>
      <c r="F67">
        <v>8</v>
      </c>
      <c r="G67">
        <v>0</v>
      </c>
      <c r="H67">
        <v>17.5</v>
      </c>
    </row>
    <row r="68" spans="1:8" x14ac:dyDescent="0.3">
      <c r="D68">
        <v>10</v>
      </c>
      <c r="E68">
        <v>9</v>
      </c>
      <c r="F68">
        <v>9</v>
      </c>
      <c r="G68">
        <v>0</v>
      </c>
      <c r="H68">
        <v>29</v>
      </c>
    </row>
    <row r="69" spans="1:8" x14ac:dyDescent="0.3">
      <c r="D69">
        <v>11</v>
      </c>
      <c r="E69">
        <v>7</v>
      </c>
      <c r="F69">
        <v>9</v>
      </c>
      <c r="G69">
        <v>1.7777777777777779</v>
      </c>
      <c r="H69">
        <v>37.75</v>
      </c>
    </row>
    <row r="70" spans="1:8" x14ac:dyDescent="0.3">
      <c r="D70">
        <v>12</v>
      </c>
      <c r="E70">
        <v>8</v>
      </c>
      <c r="F70">
        <v>9</v>
      </c>
      <c r="G70">
        <v>1</v>
      </c>
      <c r="H70">
        <v>9.25</v>
      </c>
    </row>
    <row r="71" spans="1:8" x14ac:dyDescent="0.3">
      <c r="D71">
        <v>13</v>
      </c>
      <c r="E71">
        <v>8</v>
      </c>
      <c r="F71">
        <v>9</v>
      </c>
      <c r="G71">
        <v>1.083333333333333</v>
      </c>
      <c r="H71">
        <v>26.5</v>
      </c>
    </row>
    <row r="72" spans="1:8" x14ac:dyDescent="0.3">
      <c r="D72">
        <v>14</v>
      </c>
      <c r="E72">
        <v>9.1666666666666661</v>
      </c>
      <c r="F72">
        <v>9</v>
      </c>
      <c r="G72">
        <v>1</v>
      </c>
      <c r="H72">
        <v>6.5</v>
      </c>
    </row>
    <row r="73" spans="1:8" x14ac:dyDescent="0.3">
      <c r="D73">
        <v>15</v>
      </c>
      <c r="E73">
        <v>7.833333333333333</v>
      </c>
      <c r="F73">
        <v>8</v>
      </c>
      <c r="G73">
        <v>0</v>
      </c>
      <c r="H73">
        <v>7</v>
      </c>
    </row>
    <row r="74" spans="1:8" x14ac:dyDescent="0.3">
      <c r="A74" s="5"/>
      <c r="B74" s="5"/>
      <c r="C74" s="5"/>
      <c r="D74" s="5"/>
      <c r="E74" s="5"/>
      <c r="F74" s="5"/>
      <c r="G74" s="5"/>
    </row>
    <row r="75" spans="1:8" x14ac:dyDescent="0.3">
      <c r="A75" s="4" t="s">
        <v>0</v>
      </c>
      <c r="B75" s="4">
        <v>7</v>
      </c>
      <c r="D75" s="6" t="s">
        <v>1</v>
      </c>
      <c r="E75" s="7" t="s">
        <v>2</v>
      </c>
      <c r="F75" s="6" t="s">
        <v>8</v>
      </c>
      <c r="G75" s="6" t="s">
        <v>11</v>
      </c>
      <c r="H75" s="6" t="s">
        <v>10</v>
      </c>
    </row>
    <row r="76" spans="1:8" x14ac:dyDescent="0.3">
      <c r="A76" s="8" t="s">
        <v>3</v>
      </c>
      <c r="B76" s="8">
        <v>7</v>
      </c>
      <c r="D76">
        <v>1</v>
      </c>
      <c r="E76">
        <v>5.333333333333333</v>
      </c>
      <c r="F76">
        <v>7</v>
      </c>
      <c r="G76">
        <v>7.4656944444444449</v>
      </c>
      <c r="H76">
        <v>596.82000000000005</v>
      </c>
    </row>
    <row r="77" spans="1:8" x14ac:dyDescent="0.3">
      <c r="A77" s="8" t="s">
        <v>4</v>
      </c>
      <c r="B77" s="8">
        <v>5</v>
      </c>
      <c r="D77">
        <v>2</v>
      </c>
      <c r="E77">
        <v>4.333333333333333</v>
      </c>
      <c r="F77">
        <v>8</v>
      </c>
      <c r="G77">
        <v>15.560487804878051</v>
      </c>
      <c r="H77">
        <v>683.55000000000007</v>
      </c>
    </row>
    <row r="78" spans="1:8" x14ac:dyDescent="0.3">
      <c r="A78" s="8" t="s">
        <v>5</v>
      </c>
      <c r="B78" s="8" t="s">
        <v>6</v>
      </c>
      <c r="D78">
        <v>3</v>
      </c>
      <c r="E78">
        <v>8</v>
      </c>
      <c r="F78">
        <v>8</v>
      </c>
      <c r="G78">
        <v>8.275555555555556</v>
      </c>
      <c r="H78">
        <v>514.01</v>
      </c>
    </row>
    <row r="79" spans="1:8" x14ac:dyDescent="0.3">
      <c r="D79">
        <v>4</v>
      </c>
      <c r="E79">
        <v>4.666666666666667</v>
      </c>
      <c r="F79">
        <v>8</v>
      </c>
      <c r="G79">
        <v>12.26195121951219</v>
      </c>
      <c r="H79">
        <v>551.25</v>
      </c>
    </row>
    <row r="80" spans="1:8" x14ac:dyDescent="0.3">
      <c r="D80">
        <v>5</v>
      </c>
      <c r="E80">
        <v>6.166666666666667</v>
      </c>
      <c r="F80">
        <v>9</v>
      </c>
      <c r="G80">
        <v>6.5141176470588231</v>
      </c>
      <c r="H80">
        <v>262.64</v>
      </c>
    </row>
    <row r="81" spans="1:8" x14ac:dyDescent="0.3">
      <c r="A81" s="5"/>
      <c r="B81" s="5"/>
      <c r="C81" s="5"/>
      <c r="D81" s="5"/>
      <c r="E81" s="5"/>
      <c r="F81" s="5"/>
      <c r="G81" s="5"/>
    </row>
    <row r="82" spans="1:8" x14ac:dyDescent="0.3">
      <c r="A82" s="4" t="s">
        <v>0</v>
      </c>
      <c r="B82" s="4">
        <v>8</v>
      </c>
      <c r="D82" s="6" t="s">
        <v>1</v>
      </c>
      <c r="E82" s="7" t="s">
        <v>2</v>
      </c>
      <c r="F82" s="6" t="s">
        <v>8</v>
      </c>
      <c r="G82" s="6" t="s">
        <v>11</v>
      </c>
      <c r="H82" s="6" t="s">
        <v>10</v>
      </c>
    </row>
    <row r="83" spans="1:8" x14ac:dyDescent="0.3">
      <c r="A83" s="8" t="s">
        <v>3</v>
      </c>
      <c r="B83" s="8">
        <v>7</v>
      </c>
      <c r="D83">
        <v>1</v>
      </c>
      <c r="E83">
        <v>7.666666666666667</v>
      </c>
      <c r="F83">
        <v>9</v>
      </c>
      <c r="G83">
        <v>5.7007317073170736</v>
      </c>
      <c r="H83">
        <v>287.63</v>
      </c>
    </row>
    <row r="84" spans="1:8" x14ac:dyDescent="0.3">
      <c r="A84" s="8" t="s">
        <v>4</v>
      </c>
      <c r="B84" s="8">
        <v>10</v>
      </c>
      <c r="D84">
        <v>2</v>
      </c>
      <c r="E84">
        <v>6.666666666666667</v>
      </c>
      <c r="F84">
        <v>9</v>
      </c>
      <c r="G84">
        <v>2.2795652173913039</v>
      </c>
      <c r="H84">
        <v>182.28</v>
      </c>
    </row>
    <row r="85" spans="1:8" x14ac:dyDescent="0.3">
      <c r="A85" s="8" t="s">
        <v>5</v>
      </c>
      <c r="B85" s="8" t="s">
        <v>6</v>
      </c>
      <c r="D85">
        <v>3</v>
      </c>
      <c r="E85">
        <v>6</v>
      </c>
      <c r="F85">
        <v>7</v>
      </c>
      <c r="G85">
        <v>11.99930232558139</v>
      </c>
      <c r="H85">
        <v>569.87</v>
      </c>
    </row>
    <row r="86" spans="1:8" x14ac:dyDescent="0.3">
      <c r="D86">
        <v>4</v>
      </c>
      <c r="E86">
        <v>6.666666666666667</v>
      </c>
      <c r="F86">
        <v>7</v>
      </c>
      <c r="G86">
        <v>8.2546153846153842</v>
      </c>
      <c r="H86">
        <v>126.91</v>
      </c>
    </row>
    <row r="87" spans="1:8" x14ac:dyDescent="0.3">
      <c r="D87">
        <v>5</v>
      </c>
      <c r="E87">
        <v>8</v>
      </c>
      <c r="F87">
        <v>9</v>
      </c>
      <c r="G87">
        <v>3.076111111111111</v>
      </c>
      <c r="H87">
        <v>181.3</v>
      </c>
    </row>
    <row r="88" spans="1:8" x14ac:dyDescent="0.3">
      <c r="D88">
        <v>6</v>
      </c>
      <c r="E88">
        <v>7.333333333333333</v>
      </c>
      <c r="F88">
        <v>9</v>
      </c>
      <c r="G88">
        <v>4.9593939393939399</v>
      </c>
      <c r="H88">
        <v>220.01</v>
      </c>
    </row>
    <row r="89" spans="1:8" x14ac:dyDescent="0.3">
      <c r="D89">
        <v>7</v>
      </c>
      <c r="E89">
        <v>7.5</v>
      </c>
      <c r="F89">
        <v>8</v>
      </c>
      <c r="G89">
        <v>7.2855263157894736</v>
      </c>
      <c r="H89">
        <v>331.24</v>
      </c>
    </row>
    <row r="90" spans="1:8" x14ac:dyDescent="0.3">
      <c r="D90">
        <v>8</v>
      </c>
      <c r="E90">
        <v>7.333333333333333</v>
      </c>
      <c r="F90">
        <v>8</v>
      </c>
      <c r="G90">
        <v>5.6243478260869564</v>
      </c>
      <c r="H90">
        <v>332.71</v>
      </c>
    </row>
    <row r="91" spans="1:8" x14ac:dyDescent="0.3">
      <c r="D91">
        <v>9</v>
      </c>
      <c r="E91">
        <v>5.166666666666667</v>
      </c>
      <c r="F91">
        <v>9</v>
      </c>
      <c r="G91">
        <v>6.5141176470588231</v>
      </c>
      <c r="H91">
        <v>262.64</v>
      </c>
    </row>
    <row r="92" spans="1:8" x14ac:dyDescent="0.3">
      <c r="D92">
        <v>10</v>
      </c>
      <c r="E92">
        <v>7</v>
      </c>
      <c r="F92">
        <v>8</v>
      </c>
      <c r="G92">
        <v>5.0361111111111114</v>
      </c>
      <c r="H92">
        <v>113.68</v>
      </c>
    </row>
    <row r="93" spans="1:8" x14ac:dyDescent="0.3">
      <c r="A93" s="5"/>
      <c r="B93" s="5"/>
      <c r="C93" s="5"/>
      <c r="D93" s="5"/>
      <c r="E93" s="5"/>
      <c r="F93" s="5"/>
      <c r="G93" s="5"/>
    </row>
    <row r="94" spans="1:8" x14ac:dyDescent="0.3">
      <c r="A94" s="4" t="s">
        <v>0</v>
      </c>
      <c r="B94" s="4">
        <v>9</v>
      </c>
      <c r="D94" s="6" t="s">
        <v>1</v>
      </c>
      <c r="E94" s="7" t="s">
        <v>2</v>
      </c>
      <c r="F94" s="6" t="s">
        <v>8</v>
      </c>
      <c r="G94" s="6" t="s">
        <v>11</v>
      </c>
      <c r="H94" s="6" t="s">
        <v>10</v>
      </c>
    </row>
    <row r="95" spans="1:8" x14ac:dyDescent="0.3">
      <c r="A95" s="8" t="s">
        <v>3</v>
      </c>
      <c r="B95" s="8">
        <v>7</v>
      </c>
      <c r="D95">
        <v>1</v>
      </c>
      <c r="E95">
        <v>8.1666666666666661</v>
      </c>
      <c r="F95">
        <v>9</v>
      </c>
      <c r="G95">
        <v>5.7007317073170736</v>
      </c>
      <c r="H95">
        <v>287.63</v>
      </c>
    </row>
    <row r="96" spans="1:8" x14ac:dyDescent="0.3">
      <c r="A96" s="8" t="s">
        <v>4</v>
      </c>
      <c r="B96" s="8">
        <v>15</v>
      </c>
      <c r="D96">
        <v>2</v>
      </c>
      <c r="E96">
        <v>6.833333333333333</v>
      </c>
      <c r="F96">
        <v>9</v>
      </c>
      <c r="G96">
        <v>2.2795652173913039</v>
      </c>
      <c r="H96">
        <v>182.28</v>
      </c>
    </row>
    <row r="97" spans="1:8" x14ac:dyDescent="0.3">
      <c r="A97" s="8" t="s">
        <v>5</v>
      </c>
      <c r="B97" s="8" t="s">
        <v>6</v>
      </c>
      <c r="D97">
        <v>3</v>
      </c>
      <c r="E97">
        <v>6.833333333333333</v>
      </c>
      <c r="F97">
        <v>8</v>
      </c>
      <c r="G97">
        <v>2.5336585365853659</v>
      </c>
      <c r="H97">
        <v>177.87</v>
      </c>
    </row>
    <row r="98" spans="1:8" x14ac:dyDescent="0.3">
      <c r="D98">
        <v>4</v>
      </c>
      <c r="E98">
        <v>6.166666666666667</v>
      </c>
      <c r="F98">
        <v>9</v>
      </c>
      <c r="G98">
        <v>6.6372727272727277</v>
      </c>
      <c r="H98">
        <v>94.570000000000007</v>
      </c>
    </row>
    <row r="99" spans="1:8" x14ac:dyDescent="0.3">
      <c r="D99">
        <v>5</v>
      </c>
      <c r="E99">
        <v>6</v>
      </c>
      <c r="F99">
        <v>9</v>
      </c>
      <c r="G99">
        <v>2.87</v>
      </c>
      <c r="H99">
        <v>32.340000000000003</v>
      </c>
    </row>
    <row r="100" spans="1:8" x14ac:dyDescent="0.3">
      <c r="D100">
        <v>6</v>
      </c>
      <c r="E100">
        <v>7.5</v>
      </c>
      <c r="F100">
        <v>9</v>
      </c>
      <c r="G100">
        <v>3.076111111111111</v>
      </c>
      <c r="H100">
        <v>181.3</v>
      </c>
    </row>
    <row r="101" spans="1:8" x14ac:dyDescent="0.3">
      <c r="D101">
        <v>7</v>
      </c>
      <c r="E101">
        <v>5.666666666666667</v>
      </c>
      <c r="F101">
        <v>9</v>
      </c>
      <c r="G101">
        <v>4.9593939393939399</v>
      </c>
      <c r="H101">
        <v>220.01</v>
      </c>
    </row>
    <row r="102" spans="1:8" x14ac:dyDescent="0.3">
      <c r="D102">
        <v>8</v>
      </c>
      <c r="E102">
        <v>7.166666666666667</v>
      </c>
      <c r="F102">
        <v>9</v>
      </c>
      <c r="G102">
        <v>4.4458536585365858</v>
      </c>
      <c r="H102">
        <v>249.9</v>
      </c>
    </row>
    <row r="103" spans="1:8" x14ac:dyDescent="0.3">
      <c r="D103">
        <v>9</v>
      </c>
      <c r="E103">
        <v>8</v>
      </c>
      <c r="F103">
        <v>8</v>
      </c>
      <c r="G103">
        <v>6.6150000000000002</v>
      </c>
      <c r="H103">
        <v>196.98</v>
      </c>
    </row>
    <row r="104" spans="1:8" x14ac:dyDescent="0.3">
      <c r="D104">
        <v>10</v>
      </c>
      <c r="E104">
        <v>5.666666666666667</v>
      </c>
      <c r="F104">
        <v>7</v>
      </c>
      <c r="G104">
        <v>5.9315789473684211</v>
      </c>
      <c r="H104">
        <v>157.29</v>
      </c>
    </row>
    <row r="105" spans="1:8" x14ac:dyDescent="0.3">
      <c r="D105">
        <v>11</v>
      </c>
      <c r="E105">
        <v>6.666666666666667</v>
      </c>
      <c r="F105">
        <v>8</v>
      </c>
      <c r="G105">
        <v>3.8347826086956518</v>
      </c>
      <c r="H105">
        <v>234.71</v>
      </c>
    </row>
    <row r="106" spans="1:8" x14ac:dyDescent="0.3">
      <c r="D106">
        <v>12</v>
      </c>
      <c r="E106">
        <v>3.6666666666666665</v>
      </c>
      <c r="F106">
        <v>10</v>
      </c>
      <c r="G106">
        <v>6.5141176470588231</v>
      </c>
      <c r="H106">
        <v>262.64</v>
      </c>
    </row>
    <row r="107" spans="1:8" x14ac:dyDescent="0.3">
      <c r="D107">
        <v>13</v>
      </c>
      <c r="E107">
        <v>8.8333333333333339</v>
      </c>
      <c r="F107">
        <v>8</v>
      </c>
      <c r="G107">
        <v>2.3369230769230769</v>
      </c>
      <c r="H107">
        <v>135.72999999999999</v>
      </c>
    </row>
    <row r="108" spans="1:8" x14ac:dyDescent="0.3">
      <c r="D108">
        <v>14</v>
      </c>
      <c r="E108">
        <v>7</v>
      </c>
      <c r="F108">
        <v>8</v>
      </c>
      <c r="G108">
        <v>5.0361111111111114</v>
      </c>
      <c r="H108">
        <v>113.68</v>
      </c>
    </row>
    <row r="109" spans="1:8" x14ac:dyDescent="0.3">
      <c r="D109">
        <v>15</v>
      </c>
      <c r="E109">
        <v>7.333333333333333</v>
      </c>
      <c r="F109">
        <v>8</v>
      </c>
      <c r="G109">
        <v>2.6459999999999999</v>
      </c>
      <c r="H109">
        <v>81.34</v>
      </c>
    </row>
    <row r="110" spans="1:8" x14ac:dyDescent="0.3">
      <c r="A110" s="5"/>
      <c r="B110" s="5"/>
      <c r="C110" s="5"/>
      <c r="D110" s="5"/>
      <c r="E110" s="5"/>
      <c r="F110" s="5"/>
      <c r="G110" s="5"/>
    </row>
    <row r="111" spans="1:8" x14ac:dyDescent="0.3">
      <c r="A111" s="4" t="s">
        <v>0</v>
      </c>
      <c r="B111" s="4">
        <v>10</v>
      </c>
      <c r="D111" s="6" t="s">
        <v>1</v>
      </c>
      <c r="E111" s="7" t="s">
        <v>2</v>
      </c>
      <c r="F111" s="6" t="s">
        <v>8</v>
      </c>
      <c r="G111" s="6" t="s">
        <v>11</v>
      </c>
      <c r="H111" s="6" t="s">
        <v>10</v>
      </c>
    </row>
    <row r="112" spans="1:8" x14ac:dyDescent="0.3">
      <c r="A112" s="8" t="s">
        <v>3</v>
      </c>
      <c r="B112" s="8">
        <v>7</v>
      </c>
      <c r="D112">
        <v>1</v>
      </c>
      <c r="E112">
        <v>3.1666666666666665</v>
      </c>
      <c r="F112">
        <v>8</v>
      </c>
      <c r="G112">
        <v>21.932400000000001</v>
      </c>
      <c r="H112">
        <v>1134.3499999999999</v>
      </c>
    </row>
    <row r="113" spans="1:8" x14ac:dyDescent="0.3">
      <c r="A113" s="8" t="s">
        <v>4</v>
      </c>
      <c r="B113" s="8">
        <v>5</v>
      </c>
      <c r="D113">
        <v>2</v>
      </c>
      <c r="E113">
        <v>4.5</v>
      </c>
      <c r="F113">
        <v>8</v>
      </c>
      <c r="G113">
        <v>13.739599999999999</v>
      </c>
      <c r="H113">
        <v>734.51</v>
      </c>
    </row>
    <row r="114" spans="1:8" x14ac:dyDescent="0.3">
      <c r="A114" s="8" t="s">
        <v>5</v>
      </c>
      <c r="B114" s="8" t="s">
        <v>7</v>
      </c>
      <c r="D114">
        <v>3</v>
      </c>
      <c r="E114">
        <v>5.333333333333333</v>
      </c>
      <c r="F114">
        <v>8</v>
      </c>
      <c r="G114">
        <v>6.8180000000000014</v>
      </c>
      <c r="H114">
        <v>286.16000000000003</v>
      </c>
    </row>
    <row r="115" spans="1:8" x14ac:dyDescent="0.3">
      <c r="D115">
        <v>4</v>
      </c>
      <c r="E115">
        <v>2</v>
      </c>
      <c r="F115">
        <v>9</v>
      </c>
      <c r="G115">
        <v>8.5861363636363635</v>
      </c>
      <c r="H115">
        <v>441.98</v>
      </c>
    </row>
    <row r="116" spans="1:8" x14ac:dyDescent="0.3">
      <c r="D116">
        <v>5</v>
      </c>
      <c r="E116">
        <v>5.166666666666667</v>
      </c>
      <c r="F116">
        <v>6</v>
      </c>
      <c r="G116">
        <v>2.94</v>
      </c>
      <c r="H116">
        <v>11.27</v>
      </c>
    </row>
    <row r="117" spans="1:8" x14ac:dyDescent="0.3">
      <c r="A117" s="5"/>
      <c r="B117" s="5"/>
      <c r="C117" s="5"/>
      <c r="D117" s="5"/>
      <c r="E117" s="5"/>
      <c r="F117" s="5"/>
      <c r="G117" s="5"/>
    </row>
    <row r="118" spans="1:8" x14ac:dyDescent="0.3">
      <c r="A118" s="4" t="s">
        <v>0</v>
      </c>
      <c r="B118" s="4">
        <v>11</v>
      </c>
      <c r="D118" s="6" t="s">
        <v>1</v>
      </c>
      <c r="E118" s="7" t="s">
        <v>2</v>
      </c>
      <c r="F118" s="6" t="s">
        <v>8</v>
      </c>
      <c r="G118" s="6" t="s">
        <v>11</v>
      </c>
      <c r="H118" s="6" t="s">
        <v>10</v>
      </c>
    </row>
    <row r="119" spans="1:8" x14ac:dyDescent="0.3">
      <c r="A119" s="8" t="s">
        <v>3</v>
      </c>
      <c r="B119" s="8">
        <v>7</v>
      </c>
      <c r="D119">
        <v>1</v>
      </c>
      <c r="E119">
        <v>5</v>
      </c>
      <c r="F119">
        <v>9</v>
      </c>
      <c r="G119">
        <v>13.99034482758621</v>
      </c>
      <c r="H119">
        <v>862.89</v>
      </c>
    </row>
    <row r="120" spans="1:8" x14ac:dyDescent="0.3">
      <c r="A120" s="8" t="s">
        <v>4</v>
      </c>
      <c r="B120" s="8">
        <v>10</v>
      </c>
      <c r="D120">
        <v>2</v>
      </c>
      <c r="E120">
        <v>6.333333333333333</v>
      </c>
      <c r="F120">
        <v>8</v>
      </c>
      <c r="G120">
        <v>13.739599999999999</v>
      </c>
      <c r="H120">
        <v>734.51</v>
      </c>
    </row>
    <row r="121" spans="1:8" x14ac:dyDescent="0.3">
      <c r="A121" s="8" t="s">
        <v>5</v>
      </c>
      <c r="B121" s="8" t="s">
        <v>7</v>
      </c>
      <c r="D121">
        <v>3</v>
      </c>
      <c r="E121">
        <v>5.5</v>
      </c>
      <c r="F121">
        <v>8</v>
      </c>
      <c r="G121">
        <v>6.8180000000000014</v>
      </c>
      <c r="H121">
        <v>286.16000000000003</v>
      </c>
    </row>
    <row r="122" spans="1:8" x14ac:dyDescent="0.3">
      <c r="D122">
        <v>4</v>
      </c>
      <c r="E122">
        <v>3</v>
      </c>
      <c r="F122">
        <v>7</v>
      </c>
      <c r="G122">
        <v>5.5420689655172417</v>
      </c>
      <c r="H122">
        <v>207.76</v>
      </c>
    </row>
    <row r="123" spans="1:8" x14ac:dyDescent="0.3">
      <c r="D123">
        <v>5</v>
      </c>
      <c r="E123">
        <v>6.333333333333333</v>
      </c>
      <c r="F123">
        <v>8</v>
      </c>
      <c r="G123">
        <v>4.2552631578947366</v>
      </c>
      <c r="H123">
        <v>116.62</v>
      </c>
    </row>
    <row r="124" spans="1:8" x14ac:dyDescent="0.3">
      <c r="D124">
        <v>6</v>
      </c>
      <c r="E124">
        <v>4.5</v>
      </c>
      <c r="F124">
        <v>9</v>
      </c>
      <c r="G124">
        <v>6.4956410256410262</v>
      </c>
      <c r="H124">
        <v>302.82</v>
      </c>
    </row>
    <row r="125" spans="1:8" x14ac:dyDescent="0.3">
      <c r="D125">
        <v>7</v>
      </c>
      <c r="E125">
        <v>6.666666666666667</v>
      </c>
      <c r="F125">
        <v>8</v>
      </c>
      <c r="G125">
        <v>3.99</v>
      </c>
      <c r="H125">
        <v>38.22</v>
      </c>
    </row>
    <row r="126" spans="1:8" x14ac:dyDescent="0.3">
      <c r="D126">
        <v>8</v>
      </c>
      <c r="E126">
        <v>6.333333333333333</v>
      </c>
      <c r="F126">
        <v>9</v>
      </c>
      <c r="G126">
        <v>2.38</v>
      </c>
      <c r="H126">
        <v>25.48</v>
      </c>
    </row>
    <row r="127" spans="1:8" x14ac:dyDescent="0.3">
      <c r="D127">
        <v>9</v>
      </c>
      <c r="E127">
        <v>5</v>
      </c>
      <c r="F127">
        <v>9</v>
      </c>
      <c r="G127">
        <v>2.4500000000000002</v>
      </c>
      <c r="H127">
        <v>22.54</v>
      </c>
    </row>
    <row r="128" spans="1:8" x14ac:dyDescent="0.3">
      <c r="D128">
        <v>10</v>
      </c>
      <c r="E128">
        <v>5.833333333333333</v>
      </c>
      <c r="F128">
        <v>7</v>
      </c>
      <c r="G128">
        <v>2.94</v>
      </c>
      <c r="H128">
        <v>11.27</v>
      </c>
    </row>
    <row r="129" spans="1:8" x14ac:dyDescent="0.3">
      <c r="A129" s="5"/>
      <c r="B129" s="5"/>
      <c r="C129" s="5"/>
      <c r="D129" s="5"/>
      <c r="E129" s="5"/>
      <c r="F129" s="5"/>
      <c r="G129" s="5"/>
    </row>
    <row r="130" spans="1:8" x14ac:dyDescent="0.3">
      <c r="A130" s="4" t="s">
        <v>0</v>
      </c>
      <c r="B130" s="4">
        <v>12</v>
      </c>
      <c r="D130" s="6" t="s">
        <v>1</v>
      </c>
      <c r="E130" s="7" t="s">
        <v>2</v>
      </c>
      <c r="F130" s="6" t="s">
        <v>8</v>
      </c>
      <c r="G130" s="6" t="s">
        <v>11</v>
      </c>
      <c r="H130" s="6" t="s">
        <v>10</v>
      </c>
    </row>
    <row r="131" spans="1:8" x14ac:dyDescent="0.3">
      <c r="A131" s="8" t="s">
        <v>3</v>
      </c>
      <c r="B131" s="8">
        <v>7</v>
      </c>
      <c r="D131">
        <v>1</v>
      </c>
      <c r="E131">
        <v>5.333333333333333</v>
      </c>
      <c r="F131">
        <v>8</v>
      </c>
      <c r="G131">
        <v>13.99034482758621</v>
      </c>
      <c r="H131">
        <v>862.89</v>
      </c>
    </row>
    <row r="132" spans="1:8" x14ac:dyDescent="0.3">
      <c r="A132" s="8" t="s">
        <v>4</v>
      </c>
      <c r="B132" s="8">
        <v>15</v>
      </c>
      <c r="D132">
        <v>2</v>
      </c>
      <c r="E132">
        <v>5.333333333333333</v>
      </c>
      <c r="F132">
        <v>8</v>
      </c>
      <c r="G132">
        <v>13.72</v>
      </c>
      <c r="H132">
        <v>733.53</v>
      </c>
    </row>
    <row r="133" spans="1:8" x14ac:dyDescent="0.3">
      <c r="A133" s="8" t="s">
        <v>5</v>
      </c>
      <c r="B133" s="8" t="s">
        <v>7</v>
      </c>
      <c r="D133">
        <v>3</v>
      </c>
      <c r="E133">
        <v>6.166666666666667</v>
      </c>
      <c r="F133">
        <v>9</v>
      </c>
      <c r="G133">
        <v>3.740333333333334</v>
      </c>
      <c r="H133">
        <v>164.64</v>
      </c>
    </row>
    <row r="134" spans="1:8" x14ac:dyDescent="0.3">
      <c r="D134">
        <v>4</v>
      </c>
      <c r="E134">
        <v>8.5</v>
      </c>
      <c r="F134">
        <v>9</v>
      </c>
      <c r="G134">
        <v>2.94</v>
      </c>
      <c r="H134">
        <v>13.72</v>
      </c>
    </row>
    <row r="135" spans="1:8" x14ac:dyDescent="0.3">
      <c r="D135">
        <v>5</v>
      </c>
      <c r="E135">
        <v>8.8333333333333339</v>
      </c>
      <c r="F135">
        <v>9</v>
      </c>
      <c r="G135">
        <v>3.6341666666666672</v>
      </c>
      <c r="H135">
        <v>105.84</v>
      </c>
    </row>
    <row r="136" spans="1:8" x14ac:dyDescent="0.3">
      <c r="D136">
        <v>6</v>
      </c>
      <c r="E136">
        <v>8.8333333333333339</v>
      </c>
      <c r="F136">
        <v>9</v>
      </c>
      <c r="G136">
        <v>4.2552631578947366</v>
      </c>
      <c r="H136">
        <v>116.62</v>
      </c>
    </row>
    <row r="137" spans="1:8" x14ac:dyDescent="0.3">
      <c r="D137">
        <v>7</v>
      </c>
      <c r="E137">
        <v>6</v>
      </c>
      <c r="F137">
        <v>9</v>
      </c>
      <c r="G137">
        <v>6.4956410256410262</v>
      </c>
      <c r="H137">
        <v>302.82</v>
      </c>
    </row>
    <row r="138" spans="1:8" x14ac:dyDescent="0.3">
      <c r="D138">
        <v>8</v>
      </c>
      <c r="E138">
        <v>8.1666666666666661</v>
      </c>
      <c r="F138">
        <v>9</v>
      </c>
      <c r="G138">
        <v>3.3755555555555561</v>
      </c>
      <c r="H138">
        <v>46.55</v>
      </c>
    </row>
    <row r="139" spans="1:8" x14ac:dyDescent="0.3">
      <c r="D139">
        <v>9</v>
      </c>
      <c r="E139">
        <v>7.333333333333333</v>
      </c>
      <c r="F139">
        <v>9</v>
      </c>
      <c r="G139">
        <v>2.7766666666666668</v>
      </c>
      <c r="H139">
        <v>88.2</v>
      </c>
    </row>
    <row r="140" spans="1:8" x14ac:dyDescent="0.3">
      <c r="D140">
        <v>10</v>
      </c>
      <c r="E140">
        <v>7.333333333333333</v>
      </c>
      <c r="F140">
        <v>8</v>
      </c>
      <c r="G140">
        <v>2.8</v>
      </c>
      <c r="H140">
        <v>74.97</v>
      </c>
    </row>
    <row r="141" spans="1:8" x14ac:dyDescent="0.3">
      <c r="D141">
        <v>11</v>
      </c>
      <c r="E141">
        <v>8.3333333333333339</v>
      </c>
      <c r="F141">
        <v>9</v>
      </c>
      <c r="G141">
        <v>3.99</v>
      </c>
      <c r="H141">
        <v>38.22</v>
      </c>
    </row>
    <row r="142" spans="1:8" x14ac:dyDescent="0.3">
      <c r="D142">
        <v>12</v>
      </c>
      <c r="E142">
        <v>6.333333333333333</v>
      </c>
      <c r="F142">
        <v>9</v>
      </c>
      <c r="G142">
        <v>2.38</v>
      </c>
      <c r="H142">
        <v>25.48</v>
      </c>
    </row>
    <row r="143" spans="1:8" x14ac:dyDescent="0.3">
      <c r="D143">
        <v>13</v>
      </c>
      <c r="E143">
        <v>6.666666666666667</v>
      </c>
      <c r="F143">
        <v>9</v>
      </c>
      <c r="G143">
        <v>2.4500000000000002</v>
      </c>
      <c r="H143">
        <v>22.54</v>
      </c>
    </row>
    <row r="144" spans="1:8" x14ac:dyDescent="0.3">
      <c r="D144">
        <v>14</v>
      </c>
      <c r="E144">
        <v>7.666666666666667</v>
      </c>
      <c r="F144">
        <v>8</v>
      </c>
      <c r="G144">
        <v>2.94</v>
      </c>
      <c r="H144">
        <v>11.27</v>
      </c>
    </row>
    <row r="145" spans="1:8" x14ac:dyDescent="0.3">
      <c r="D145">
        <v>15</v>
      </c>
      <c r="E145">
        <v>9.1666666666666661</v>
      </c>
      <c r="F145">
        <v>7</v>
      </c>
      <c r="G145">
        <v>0</v>
      </c>
      <c r="H145">
        <v>0.98</v>
      </c>
    </row>
    <row r="146" spans="1:8" x14ac:dyDescent="0.3">
      <c r="A146" s="5"/>
      <c r="B146" s="5"/>
      <c r="C146" s="5"/>
      <c r="D146" s="5"/>
      <c r="E146" s="5"/>
      <c r="F146" s="5"/>
      <c r="G146" s="5"/>
    </row>
    <row r="147" spans="1:8" x14ac:dyDescent="0.3">
      <c r="A147" s="4" t="s">
        <v>0</v>
      </c>
      <c r="B147" s="4">
        <v>13</v>
      </c>
      <c r="D147" s="6" t="s">
        <v>1</v>
      </c>
      <c r="E147" s="7" t="s">
        <v>2</v>
      </c>
      <c r="F147" s="6" t="s">
        <v>8</v>
      </c>
      <c r="G147" s="6" t="s">
        <v>11</v>
      </c>
      <c r="H147" s="6" t="s">
        <v>10</v>
      </c>
    </row>
    <row r="148" spans="1:8" x14ac:dyDescent="0.3">
      <c r="A148" s="8" t="s">
        <v>3</v>
      </c>
      <c r="B148" s="8">
        <v>10</v>
      </c>
      <c r="D148">
        <v>1</v>
      </c>
      <c r="E148">
        <v>3.5</v>
      </c>
      <c r="F148">
        <v>7</v>
      </c>
      <c r="G148">
        <v>6.3125</v>
      </c>
      <c r="H148">
        <v>404</v>
      </c>
    </row>
    <row r="149" spans="1:8" x14ac:dyDescent="0.3">
      <c r="A149" s="8" t="s">
        <v>4</v>
      </c>
      <c r="B149" s="8">
        <v>5</v>
      </c>
      <c r="D149">
        <v>2</v>
      </c>
      <c r="E149">
        <v>4.666666666666667</v>
      </c>
      <c r="F149">
        <v>8</v>
      </c>
      <c r="G149">
        <v>18.47058823529412</v>
      </c>
      <c r="H149">
        <v>942</v>
      </c>
    </row>
    <row r="150" spans="1:8" x14ac:dyDescent="0.3">
      <c r="A150" s="8" t="s">
        <v>5</v>
      </c>
      <c r="B150" s="8" t="s">
        <v>6</v>
      </c>
      <c r="D150">
        <v>3</v>
      </c>
      <c r="E150">
        <v>4.166666666666667</v>
      </c>
      <c r="F150">
        <v>8</v>
      </c>
      <c r="G150">
        <v>7.1875</v>
      </c>
      <c r="H150">
        <v>460</v>
      </c>
    </row>
    <row r="151" spans="1:8" x14ac:dyDescent="0.3">
      <c r="D151">
        <v>4</v>
      </c>
      <c r="E151">
        <v>4.333333333333333</v>
      </c>
      <c r="F151">
        <v>9</v>
      </c>
      <c r="G151">
        <v>4.7317073170731696</v>
      </c>
      <c r="H151">
        <v>194</v>
      </c>
    </row>
    <row r="152" spans="1:8" x14ac:dyDescent="0.3">
      <c r="D152">
        <v>5</v>
      </c>
      <c r="E152">
        <v>4.333333333333333</v>
      </c>
      <c r="F152">
        <v>8</v>
      </c>
      <c r="G152">
        <v>11.595744680851061</v>
      </c>
      <c r="H152">
        <v>545</v>
      </c>
    </row>
    <row r="153" spans="1:8" x14ac:dyDescent="0.3">
      <c r="A153" s="5"/>
      <c r="B153" s="5"/>
      <c r="C153" s="5"/>
      <c r="D153" s="5"/>
      <c r="E153" s="5"/>
      <c r="F153" s="5"/>
      <c r="G153" s="5"/>
    </row>
    <row r="154" spans="1:8" x14ac:dyDescent="0.3">
      <c r="A154" s="4" t="s">
        <v>0</v>
      </c>
      <c r="B154" s="4">
        <v>14</v>
      </c>
      <c r="D154" s="6" t="s">
        <v>1</v>
      </c>
      <c r="E154" s="7" t="s">
        <v>2</v>
      </c>
      <c r="F154" s="6" t="s">
        <v>8</v>
      </c>
      <c r="G154" s="6" t="s">
        <v>11</v>
      </c>
      <c r="H154" s="6" t="s">
        <v>10</v>
      </c>
    </row>
    <row r="155" spans="1:8" x14ac:dyDescent="0.3">
      <c r="A155" s="8" t="s">
        <v>3</v>
      </c>
      <c r="B155" s="8">
        <v>10</v>
      </c>
      <c r="D155">
        <v>1</v>
      </c>
      <c r="E155">
        <v>7.666666666666667</v>
      </c>
      <c r="F155">
        <v>9</v>
      </c>
      <c r="G155">
        <v>4.4615384615384617</v>
      </c>
      <c r="H155">
        <v>232</v>
      </c>
    </row>
    <row r="156" spans="1:8" x14ac:dyDescent="0.3">
      <c r="A156" s="8" t="s">
        <v>4</v>
      </c>
      <c r="B156" s="8">
        <v>10</v>
      </c>
      <c r="D156">
        <v>2</v>
      </c>
      <c r="E156">
        <v>6.666666666666667</v>
      </c>
      <c r="F156">
        <v>9</v>
      </c>
      <c r="G156">
        <v>3.752688172043011</v>
      </c>
      <c r="H156">
        <v>349</v>
      </c>
    </row>
    <row r="157" spans="1:8" x14ac:dyDescent="0.3">
      <c r="A157" s="8" t="s">
        <v>5</v>
      </c>
      <c r="B157" s="8" t="s">
        <v>6</v>
      </c>
      <c r="D157">
        <v>3</v>
      </c>
      <c r="E157">
        <v>5.333333333333333</v>
      </c>
      <c r="F157">
        <v>8</v>
      </c>
      <c r="G157">
        <v>5.4</v>
      </c>
      <c r="H157">
        <v>432</v>
      </c>
    </row>
    <row r="158" spans="1:8" x14ac:dyDescent="0.3">
      <c r="D158">
        <v>4</v>
      </c>
      <c r="E158">
        <v>5.166666666666667</v>
      </c>
      <c r="F158">
        <v>8</v>
      </c>
      <c r="G158">
        <v>8.6</v>
      </c>
      <c r="H158">
        <v>172</v>
      </c>
    </row>
    <row r="159" spans="1:8" x14ac:dyDescent="0.3">
      <c r="D159">
        <v>5</v>
      </c>
      <c r="E159">
        <v>8.3333333333333339</v>
      </c>
      <c r="F159">
        <v>9</v>
      </c>
      <c r="G159">
        <v>3.720930232558139</v>
      </c>
      <c r="H159">
        <v>160</v>
      </c>
    </row>
    <row r="160" spans="1:8" x14ac:dyDescent="0.3">
      <c r="D160">
        <v>6</v>
      </c>
      <c r="E160">
        <v>5.833333333333333</v>
      </c>
      <c r="F160">
        <v>8</v>
      </c>
      <c r="G160">
        <v>4.615384615384615</v>
      </c>
      <c r="H160">
        <v>300</v>
      </c>
    </row>
    <row r="161" spans="1:8" x14ac:dyDescent="0.3">
      <c r="D161">
        <v>7</v>
      </c>
      <c r="E161">
        <v>7.833333333333333</v>
      </c>
      <c r="F161">
        <v>8</v>
      </c>
      <c r="G161">
        <v>2.2999999999999998</v>
      </c>
      <c r="H161">
        <v>161</v>
      </c>
    </row>
    <row r="162" spans="1:8" x14ac:dyDescent="0.3">
      <c r="D162">
        <v>8</v>
      </c>
      <c r="E162">
        <v>5.333333333333333</v>
      </c>
      <c r="F162">
        <v>9</v>
      </c>
      <c r="G162">
        <v>4.7317073170731696</v>
      </c>
      <c r="H162">
        <v>194</v>
      </c>
    </row>
    <row r="163" spans="1:8" x14ac:dyDescent="0.3">
      <c r="D163">
        <v>9</v>
      </c>
      <c r="E163">
        <v>6.166666666666667</v>
      </c>
      <c r="F163">
        <v>9</v>
      </c>
      <c r="G163">
        <v>7.5957446808510642</v>
      </c>
      <c r="H163">
        <v>357</v>
      </c>
    </row>
    <row r="164" spans="1:8" x14ac:dyDescent="0.3">
      <c r="D164">
        <v>10</v>
      </c>
      <c r="E164">
        <v>5.833333333333333</v>
      </c>
      <c r="F164">
        <v>6</v>
      </c>
      <c r="G164">
        <v>4.9473684210526319</v>
      </c>
      <c r="H164">
        <v>188</v>
      </c>
    </row>
    <row r="165" spans="1:8" x14ac:dyDescent="0.3">
      <c r="A165" s="5"/>
      <c r="B165" s="5"/>
      <c r="C165" s="5"/>
      <c r="D165" s="5"/>
      <c r="E165" s="5"/>
      <c r="F165" s="5"/>
      <c r="G165" s="5"/>
    </row>
    <row r="166" spans="1:8" x14ac:dyDescent="0.3">
      <c r="A166" s="4" t="s">
        <v>0</v>
      </c>
      <c r="B166" s="4">
        <v>15</v>
      </c>
      <c r="D166" s="6" t="s">
        <v>1</v>
      </c>
      <c r="E166" s="7" t="s">
        <v>2</v>
      </c>
      <c r="F166" s="6" t="s">
        <v>8</v>
      </c>
      <c r="G166" s="6" t="s">
        <v>11</v>
      </c>
      <c r="H166" s="6" t="s">
        <v>10</v>
      </c>
    </row>
    <row r="167" spans="1:8" x14ac:dyDescent="0.3">
      <c r="A167" s="8" t="s">
        <v>3</v>
      </c>
      <c r="B167" s="8">
        <v>10</v>
      </c>
      <c r="D167">
        <v>1</v>
      </c>
      <c r="E167">
        <v>8.6666666666666661</v>
      </c>
      <c r="F167">
        <v>9</v>
      </c>
      <c r="G167">
        <v>4.4615384615384617</v>
      </c>
      <c r="H167">
        <v>232</v>
      </c>
    </row>
    <row r="168" spans="1:8" x14ac:dyDescent="0.3">
      <c r="A168" s="8" t="s">
        <v>4</v>
      </c>
      <c r="B168" s="8">
        <v>15</v>
      </c>
      <c r="D168">
        <v>2</v>
      </c>
      <c r="E168">
        <v>6.5</v>
      </c>
      <c r="F168">
        <v>9</v>
      </c>
      <c r="G168">
        <v>2.2727272727272729</v>
      </c>
      <c r="H168">
        <v>175</v>
      </c>
    </row>
    <row r="169" spans="1:8" x14ac:dyDescent="0.3">
      <c r="A169" s="8" t="s">
        <v>5</v>
      </c>
      <c r="B169" s="8" t="s">
        <v>6</v>
      </c>
      <c r="D169">
        <v>3</v>
      </c>
      <c r="E169">
        <v>8.5</v>
      </c>
      <c r="F169">
        <v>8</v>
      </c>
      <c r="G169">
        <v>3.154929577464789</v>
      </c>
      <c r="H169">
        <v>224</v>
      </c>
    </row>
    <row r="170" spans="1:8" x14ac:dyDescent="0.3">
      <c r="D170">
        <v>4</v>
      </c>
      <c r="E170">
        <v>5.833333333333333</v>
      </c>
      <c r="F170">
        <v>8</v>
      </c>
      <c r="G170">
        <v>3.75</v>
      </c>
      <c r="H170">
        <v>60</v>
      </c>
    </row>
    <row r="171" spans="1:8" x14ac:dyDescent="0.3">
      <c r="D171">
        <v>5</v>
      </c>
      <c r="E171">
        <v>7.666666666666667</v>
      </c>
      <c r="F171">
        <v>8</v>
      </c>
      <c r="G171">
        <v>3.720930232558139</v>
      </c>
      <c r="H171">
        <v>160</v>
      </c>
    </row>
    <row r="172" spans="1:8" x14ac:dyDescent="0.3">
      <c r="D172">
        <v>6</v>
      </c>
      <c r="E172">
        <v>4.833333333333333</v>
      </c>
      <c r="F172">
        <v>8</v>
      </c>
      <c r="G172">
        <v>5.0975609756097562</v>
      </c>
      <c r="H172">
        <v>209</v>
      </c>
    </row>
    <row r="173" spans="1:8" x14ac:dyDescent="0.3">
      <c r="D173">
        <v>7</v>
      </c>
      <c r="E173">
        <v>7.333333333333333</v>
      </c>
      <c r="F173">
        <v>9</v>
      </c>
      <c r="G173">
        <v>2.1481481481481479</v>
      </c>
      <c r="H173">
        <v>174</v>
      </c>
    </row>
    <row r="174" spans="1:8" x14ac:dyDescent="0.3">
      <c r="D174">
        <v>8</v>
      </c>
      <c r="E174">
        <v>6.5</v>
      </c>
      <c r="F174">
        <v>8</v>
      </c>
      <c r="G174">
        <v>2.2999999999999998</v>
      </c>
      <c r="H174">
        <v>161</v>
      </c>
    </row>
    <row r="175" spans="1:8" x14ac:dyDescent="0.3">
      <c r="D175">
        <v>9</v>
      </c>
      <c r="E175">
        <v>5.5</v>
      </c>
      <c r="F175">
        <v>8</v>
      </c>
      <c r="G175">
        <v>2.536585365853659</v>
      </c>
      <c r="H175">
        <v>208</v>
      </c>
    </row>
    <row r="176" spans="1:8" x14ac:dyDescent="0.3">
      <c r="D176">
        <v>10</v>
      </c>
      <c r="E176">
        <v>4</v>
      </c>
      <c r="F176">
        <v>10</v>
      </c>
      <c r="G176">
        <v>4.7317073170731696</v>
      </c>
      <c r="H176">
        <v>194</v>
      </c>
    </row>
    <row r="177" spans="1:8" x14ac:dyDescent="0.3">
      <c r="D177">
        <v>11</v>
      </c>
      <c r="E177">
        <v>6.5</v>
      </c>
      <c r="F177">
        <v>8</v>
      </c>
      <c r="G177">
        <v>5.0384615384615383</v>
      </c>
      <c r="H177">
        <v>131</v>
      </c>
    </row>
    <row r="178" spans="1:8" x14ac:dyDescent="0.3">
      <c r="D178">
        <v>12</v>
      </c>
      <c r="E178">
        <v>6</v>
      </c>
      <c r="F178">
        <v>8</v>
      </c>
      <c r="G178">
        <v>3.53125</v>
      </c>
      <c r="H178">
        <v>226</v>
      </c>
    </row>
    <row r="179" spans="1:8" x14ac:dyDescent="0.3">
      <c r="D179">
        <v>13</v>
      </c>
      <c r="E179">
        <v>4.833333333333333</v>
      </c>
      <c r="F179">
        <v>7</v>
      </c>
      <c r="G179">
        <v>4.9473684210526319</v>
      </c>
      <c r="H179">
        <v>188</v>
      </c>
    </row>
    <row r="180" spans="1:8" x14ac:dyDescent="0.3">
      <c r="D180">
        <v>14</v>
      </c>
      <c r="E180">
        <v>5.833333333333333</v>
      </c>
      <c r="F180">
        <v>7</v>
      </c>
      <c r="G180">
        <v>1.75</v>
      </c>
      <c r="H180">
        <v>91</v>
      </c>
    </row>
    <row r="181" spans="1:8" x14ac:dyDescent="0.3">
      <c r="D181">
        <v>15</v>
      </c>
      <c r="E181">
        <v>7</v>
      </c>
      <c r="F181">
        <v>7</v>
      </c>
      <c r="G181">
        <v>5.333333333333333</v>
      </c>
      <c r="H181">
        <v>112</v>
      </c>
    </row>
    <row r="182" spans="1:8" x14ac:dyDescent="0.3">
      <c r="A182" s="5"/>
      <c r="B182" s="5"/>
      <c r="C182" s="5"/>
      <c r="D182" s="5"/>
      <c r="E182" s="5"/>
      <c r="F182" s="5"/>
      <c r="G182" s="5"/>
    </row>
    <row r="183" spans="1:8" x14ac:dyDescent="0.3">
      <c r="A183" s="4" t="s">
        <v>0</v>
      </c>
      <c r="B183" s="4">
        <v>16</v>
      </c>
      <c r="D183" s="6" t="s">
        <v>1</v>
      </c>
      <c r="E183" s="7" t="s">
        <v>2</v>
      </c>
      <c r="F183" s="6" t="s">
        <v>8</v>
      </c>
      <c r="G183" s="6" t="s">
        <v>11</v>
      </c>
      <c r="H183" s="6" t="s">
        <v>10</v>
      </c>
    </row>
    <row r="184" spans="1:8" x14ac:dyDescent="0.3">
      <c r="A184" s="8" t="s">
        <v>3</v>
      </c>
      <c r="B184" s="8">
        <v>10</v>
      </c>
      <c r="D184">
        <v>1</v>
      </c>
      <c r="E184">
        <v>2.6666666666666665</v>
      </c>
      <c r="F184">
        <v>8</v>
      </c>
      <c r="G184">
        <v>10.02777777777778</v>
      </c>
      <c r="H184">
        <v>722</v>
      </c>
    </row>
    <row r="185" spans="1:8" x14ac:dyDescent="0.3">
      <c r="A185" s="8" t="s">
        <v>4</v>
      </c>
      <c r="B185" s="8">
        <v>5</v>
      </c>
      <c r="D185">
        <v>2</v>
      </c>
      <c r="E185">
        <v>2.8333333333333335</v>
      </c>
      <c r="F185">
        <v>8</v>
      </c>
      <c r="G185">
        <v>55.6</v>
      </c>
      <c r="H185">
        <v>1390</v>
      </c>
    </row>
    <row r="186" spans="1:8" x14ac:dyDescent="0.3">
      <c r="A186" s="8" t="s">
        <v>5</v>
      </c>
      <c r="B186" s="8" t="s">
        <v>7</v>
      </c>
      <c r="D186">
        <v>3</v>
      </c>
      <c r="E186">
        <v>5.666666666666667</v>
      </c>
      <c r="F186">
        <v>8</v>
      </c>
      <c r="G186">
        <v>4.0697674418604652</v>
      </c>
      <c r="H186">
        <v>175</v>
      </c>
    </row>
    <row r="187" spans="1:8" x14ac:dyDescent="0.3">
      <c r="D187">
        <v>4</v>
      </c>
      <c r="E187">
        <v>4</v>
      </c>
      <c r="F187">
        <v>10</v>
      </c>
      <c r="G187">
        <v>4.8510638297872344</v>
      </c>
      <c r="H187">
        <v>228</v>
      </c>
    </row>
    <row r="188" spans="1:8" x14ac:dyDescent="0.3">
      <c r="D188">
        <v>5</v>
      </c>
      <c r="E188">
        <v>5.666666666666667</v>
      </c>
      <c r="F188">
        <v>9</v>
      </c>
      <c r="G188">
        <v>2.307692307692307</v>
      </c>
      <c r="H188">
        <v>30</v>
      </c>
    </row>
    <row r="189" spans="1:8" x14ac:dyDescent="0.3">
      <c r="A189" s="5"/>
      <c r="B189" s="5"/>
      <c r="C189" s="5"/>
      <c r="D189" s="5"/>
      <c r="E189" s="5"/>
      <c r="F189" s="5"/>
      <c r="G189" s="5"/>
    </row>
    <row r="190" spans="1:8" x14ac:dyDescent="0.3">
      <c r="A190" s="4" t="s">
        <v>0</v>
      </c>
      <c r="B190" s="4">
        <v>17</v>
      </c>
      <c r="D190" s="6" t="s">
        <v>1</v>
      </c>
      <c r="E190" s="7" t="s">
        <v>2</v>
      </c>
      <c r="F190" s="6" t="s">
        <v>8</v>
      </c>
      <c r="G190" s="6" t="s">
        <v>11</v>
      </c>
      <c r="H190" s="6" t="s">
        <v>10</v>
      </c>
    </row>
    <row r="191" spans="1:8" x14ac:dyDescent="0.3">
      <c r="A191" s="8" t="s">
        <v>3</v>
      </c>
      <c r="B191" s="8">
        <v>10</v>
      </c>
      <c r="D191">
        <v>1</v>
      </c>
      <c r="E191">
        <v>4.166666666666667</v>
      </c>
      <c r="F191">
        <v>8</v>
      </c>
      <c r="G191">
        <v>6.6849315069999999</v>
      </c>
      <c r="H191">
        <v>488</v>
      </c>
    </row>
    <row r="192" spans="1:8" x14ac:dyDescent="0.3">
      <c r="A192" s="8" t="s">
        <v>4</v>
      </c>
      <c r="B192" s="8">
        <v>10</v>
      </c>
      <c r="D192">
        <v>2</v>
      </c>
      <c r="E192">
        <v>4.333333333333333</v>
      </c>
      <c r="F192">
        <v>8</v>
      </c>
      <c r="G192">
        <v>33.176470590000001</v>
      </c>
      <c r="H192">
        <v>1128</v>
      </c>
    </row>
    <row r="193" spans="1:8" x14ac:dyDescent="0.3">
      <c r="A193" s="8" t="s">
        <v>5</v>
      </c>
      <c r="B193" s="8" t="s">
        <v>7</v>
      </c>
      <c r="D193">
        <v>3</v>
      </c>
      <c r="E193">
        <v>4.5</v>
      </c>
      <c r="F193">
        <v>7</v>
      </c>
      <c r="G193">
        <v>1.9729729730000001</v>
      </c>
      <c r="H193">
        <v>73</v>
      </c>
    </row>
    <row r="194" spans="1:8" x14ac:dyDescent="0.3">
      <c r="D194">
        <v>4</v>
      </c>
      <c r="E194">
        <v>8</v>
      </c>
      <c r="F194">
        <v>9</v>
      </c>
      <c r="G194">
        <v>2.542857143</v>
      </c>
      <c r="H194">
        <v>89</v>
      </c>
    </row>
    <row r="195" spans="1:8" x14ac:dyDescent="0.3">
      <c r="D195">
        <v>5</v>
      </c>
      <c r="E195">
        <v>5.333333333333333</v>
      </c>
      <c r="F195">
        <v>8</v>
      </c>
      <c r="G195">
        <v>4.0697674419999998</v>
      </c>
      <c r="H195">
        <v>175</v>
      </c>
    </row>
    <row r="196" spans="1:8" x14ac:dyDescent="0.3">
      <c r="D196">
        <v>6</v>
      </c>
      <c r="E196">
        <v>3.8333333333333335</v>
      </c>
      <c r="F196">
        <v>10</v>
      </c>
      <c r="G196">
        <v>4.8510638300000002</v>
      </c>
      <c r="H196">
        <v>228</v>
      </c>
    </row>
    <row r="197" spans="1:8" x14ac:dyDescent="0.3">
      <c r="D197">
        <v>7</v>
      </c>
      <c r="E197">
        <v>6.333333333333333</v>
      </c>
      <c r="F197">
        <v>8</v>
      </c>
      <c r="G197">
        <v>4.7619047620000003</v>
      </c>
      <c r="H197">
        <v>100</v>
      </c>
    </row>
    <row r="198" spans="1:8" x14ac:dyDescent="0.3">
      <c r="D198">
        <v>8</v>
      </c>
      <c r="E198">
        <v>6.666666666666667</v>
      </c>
      <c r="F198">
        <v>8</v>
      </c>
      <c r="G198">
        <v>3.7083333330000001</v>
      </c>
      <c r="H198">
        <v>178</v>
      </c>
    </row>
    <row r="199" spans="1:8" x14ac:dyDescent="0.3">
      <c r="D199">
        <v>9</v>
      </c>
      <c r="E199">
        <v>2.5</v>
      </c>
      <c r="F199">
        <v>9</v>
      </c>
      <c r="G199">
        <v>3.5</v>
      </c>
      <c r="H199">
        <v>56</v>
      </c>
    </row>
    <row r="200" spans="1:8" x14ac:dyDescent="0.3">
      <c r="D200">
        <v>10</v>
      </c>
      <c r="E200">
        <v>5.666666666666667</v>
      </c>
      <c r="F200">
        <v>10</v>
      </c>
      <c r="G200">
        <v>2.307692308</v>
      </c>
      <c r="H200">
        <v>30</v>
      </c>
    </row>
    <row r="201" spans="1:8" x14ac:dyDescent="0.3">
      <c r="A201" s="5"/>
      <c r="B201" s="5"/>
      <c r="C201" s="5"/>
      <c r="D201" s="5"/>
      <c r="E201" s="5"/>
      <c r="F201" s="5"/>
      <c r="G201" s="5"/>
    </row>
    <row r="202" spans="1:8" x14ac:dyDescent="0.3">
      <c r="A202" s="4" t="s">
        <v>0</v>
      </c>
      <c r="B202" s="4">
        <v>18</v>
      </c>
      <c r="D202" s="6" t="s">
        <v>1</v>
      </c>
      <c r="E202" s="7" t="s">
        <v>2</v>
      </c>
      <c r="F202" s="6" t="s">
        <v>8</v>
      </c>
      <c r="G202" s="6" t="s">
        <v>11</v>
      </c>
      <c r="H202" s="6" t="s">
        <v>10</v>
      </c>
    </row>
    <row r="203" spans="1:8" x14ac:dyDescent="0.3">
      <c r="A203" s="8" t="s">
        <v>3</v>
      </c>
      <c r="B203" s="8">
        <v>10</v>
      </c>
      <c r="D203">
        <v>1</v>
      </c>
      <c r="E203">
        <v>8.8333333333333339</v>
      </c>
      <c r="F203">
        <v>8</v>
      </c>
      <c r="G203">
        <v>4.309090909</v>
      </c>
      <c r="H203">
        <v>237</v>
      </c>
    </row>
    <row r="204" spans="1:8" x14ac:dyDescent="0.3">
      <c r="A204" s="8" t="s">
        <v>4</v>
      </c>
      <c r="B204" s="8">
        <v>15</v>
      </c>
      <c r="D204">
        <v>2</v>
      </c>
      <c r="E204">
        <v>6</v>
      </c>
      <c r="F204">
        <v>9</v>
      </c>
      <c r="G204">
        <v>4.3376623380000003</v>
      </c>
      <c r="H204">
        <v>334</v>
      </c>
    </row>
    <row r="205" spans="1:8" x14ac:dyDescent="0.3">
      <c r="A205" s="8" t="s">
        <v>5</v>
      </c>
      <c r="B205" s="8" t="s">
        <v>7</v>
      </c>
      <c r="D205">
        <v>3</v>
      </c>
      <c r="E205">
        <v>5</v>
      </c>
      <c r="F205">
        <v>9</v>
      </c>
      <c r="G205">
        <v>4.1911764710000003</v>
      </c>
      <c r="H205">
        <v>285</v>
      </c>
    </row>
    <row r="206" spans="1:8" x14ac:dyDescent="0.3">
      <c r="D206">
        <v>4</v>
      </c>
      <c r="E206">
        <v>4.833333333333333</v>
      </c>
      <c r="F206">
        <v>7</v>
      </c>
      <c r="G206">
        <v>2.605769231</v>
      </c>
      <c r="H206">
        <v>271</v>
      </c>
    </row>
    <row r="207" spans="1:8" x14ac:dyDescent="0.3">
      <c r="D207">
        <v>5</v>
      </c>
      <c r="E207">
        <v>6.833333333333333</v>
      </c>
      <c r="F207">
        <v>6</v>
      </c>
      <c r="G207">
        <v>2.0555555559999998</v>
      </c>
      <c r="H207">
        <v>37</v>
      </c>
    </row>
    <row r="208" spans="1:8" x14ac:dyDescent="0.3">
      <c r="D208">
        <v>6</v>
      </c>
      <c r="E208">
        <v>8.3333333333333339</v>
      </c>
      <c r="F208">
        <v>8</v>
      </c>
      <c r="G208">
        <v>2.542857143</v>
      </c>
      <c r="H208">
        <v>89</v>
      </c>
    </row>
    <row r="209" spans="4:8" x14ac:dyDescent="0.3">
      <c r="D209">
        <v>7</v>
      </c>
      <c r="E209">
        <v>7.333333333333333</v>
      </c>
      <c r="F209">
        <v>8</v>
      </c>
      <c r="G209">
        <v>2.8674698799999998</v>
      </c>
      <c r="H209">
        <v>238</v>
      </c>
    </row>
    <row r="210" spans="4:8" x14ac:dyDescent="0.3">
      <c r="D210">
        <v>8</v>
      </c>
      <c r="E210">
        <v>6.5</v>
      </c>
      <c r="F210">
        <v>7</v>
      </c>
      <c r="G210">
        <v>4.0697674419999998</v>
      </c>
      <c r="H210">
        <v>175</v>
      </c>
    </row>
    <row r="211" spans="4:8" x14ac:dyDescent="0.3">
      <c r="D211">
        <v>9</v>
      </c>
      <c r="E211">
        <v>5</v>
      </c>
      <c r="F211">
        <v>10</v>
      </c>
      <c r="G211">
        <v>4.8510638300000002</v>
      </c>
      <c r="H211">
        <v>228</v>
      </c>
    </row>
    <row r="212" spans="4:8" x14ac:dyDescent="0.3">
      <c r="D212">
        <v>10</v>
      </c>
      <c r="E212">
        <v>4</v>
      </c>
      <c r="F212">
        <v>9</v>
      </c>
      <c r="G212">
        <v>2.6145833330000001</v>
      </c>
      <c r="H212">
        <v>251</v>
      </c>
    </row>
    <row r="213" spans="4:8" x14ac:dyDescent="0.3">
      <c r="D213">
        <v>11</v>
      </c>
      <c r="E213">
        <v>5</v>
      </c>
      <c r="F213">
        <v>8</v>
      </c>
      <c r="G213">
        <v>4.7619047620000003</v>
      </c>
      <c r="H213">
        <v>100</v>
      </c>
    </row>
    <row r="214" spans="4:8" x14ac:dyDescent="0.3">
      <c r="D214">
        <v>12</v>
      </c>
      <c r="E214">
        <v>7.333333333333333</v>
      </c>
      <c r="F214">
        <v>7</v>
      </c>
      <c r="G214">
        <v>1.565217391</v>
      </c>
      <c r="H214">
        <v>36</v>
      </c>
    </row>
    <row r="215" spans="4:8" x14ac:dyDescent="0.3">
      <c r="D215">
        <v>13</v>
      </c>
      <c r="E215">
        <v>6.666666666666667</v>
      </c>
      <c r="F215">
        <v>7</v>
      </c>
      <c r="G215">
        <v>3.7083333330000001</v>
      </c>
      <c r="H215">
        <v>178</v>
      </c>
    </row>
    <row r="216" spans="4:8" x14ac:dyDescent="0.3">
      <c r="D216">
        <v>14</v>
      </c>
      <c r="E216">
        <v>3</v>
      </c>
      <c r="F216">
        <v>8</v>
      </c>
      <c r="G216">
        <v>3.5</v>
      </c>
      <c r="H216">
        <v>56</v>
      </c>
    </row>
    <row r="217" spans="4:8" x14ac:dyDescent="0.3">
      <c r="D217">
        <v>15</v>
      </c>
      <c r="E217">
        <v>6.166666666666667</v>
      </c>
      <c r="F217">
        <v>9</v>
      </c>
      <c r="G217">
        <v>2.307692308</v>
      </c>
      <c r="H21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8878-1070-4621-B565-66AA430D4723}">
  <dimension ref="A1:I183"/>
  <sheetViews>
    <sheetView topLeftCell="D1" workbookViewId="0">
      <selection activeCell="I4" sqref="I4"/>
    </sheetView>
  </sheetViews>
  <sheetFormatPr defaultRowHeight="14.4" x14ac:dyDescent="0.3"/>
  <cols>
    <col min="1" max="1" width="17.109375" bestFit="1" customWidth="1"/>
    <col min="2" max="2" width="9.6640625" bestFit="1" customWidth="1"/>
    <col min="4" max="4" width="20.77734375" customWidth="1"/>
    <col min="5" max="5" width="18.5546875" customWidth="1"/>
    <col min="6" max="6" width="26.33203125" bestFit="1" customWidth="1"/>
    <col min="7" max="7" width="25.77734375" bestFit="1" customWidth="1"/>
    <col min="8" max="8" width="28.21875" bestFit="1" customWidth="1"/>
    <col min="9" max="9" width="91.5546875" style="12" bestFit="1" customWidth="1"/>
  </cols>
  <sheetData>
    <row r="1" spans="1:9" ht="59.4" customHeight="1" x14ac:dyDescent="0.35">
      <c r="A1" s="1"/>
      <c r="B1" s="2"/>
      <c r="E1" s="3"/>
      <c r="F1" s="3"/>
      <c r="G1" s="4"/>
      <c r="H1" s="4"/>
      <c r="I1" s="11" t="s">
        <v>13</v>
      </c>
    </row>
    <row r="2" spans="1:9" x14ac:dyDescent="0.3">
      <c r="A2" s="5"/>
      <c r="B2" s="5"/>
      <c r="C2" s="5"/>
      <c r="D2" s="5"/>
      <c r="E2" s="5"/>
      <c r="F2" s="5"/>
      <c r="G2" s="5"/>
      <c r="H2" s="5"/>
      <c r="I2" s="12" t="s">
        <v>23</v>
      </c>
    </row>
    <row r="3" spans="1:9" x14ac:dyDescent="0.3">
      <c r="D3" s="6" t="s">
        <v>1</v>
      </c>
      <c r="E3" s="7" t="s">
        <v>2</v>
      </c>
      <c r="F3" s="9" t="s">
        <v>12</v>
      </c>
      <c r="G3" s="6" t="s">
        <v>8</v>
      </c>
      <c r="H3" s="9" t="s">
        <v>9</v>
      </c>
    </row>
    <row r="4" spans="1:9" x14ac:dyDescent="0.3">
      <c r="A4" s="4" t="s">
        <v>0</v>
      </c>
      <c r="B4" s="4">
        <v>1</v>
      </c>
      <c r="D4">
        <v>1</v>
      </c>
      <c r="E4">
        <v>8.3333333333333339</v>
      </c>
      <c r="F4">
        <f>(E4 - MIN($E$4:$E$183)) / (MAX($E$4:$E$183) - MIN($E$4:$E$183))</f>
        <v>0.86363636363636365</v>
      </c>
      <c r="G4">
        <v>9</v>
      </c>
      <c r="H4">
        <f>(G4 - MIN($G$4:$G$183)) / (MAX($G$4:$G$183) - MIN($G$4:$G$183))</f>
        <v>0.8</v>
      </c>
      <c r="I4" s="12">
        <f>1/2*(F4+H4)</f>
        <v>0.83181818181818179</v>
      </c>
    </row>
    <row r="5" spans="1:9" x14ac:dyDescent="0.3">
      <c r="A5" s="8" t="s">
        <v>3</v>
      </c>
      <c r="B5" s="8">
        <v>5</v>
      </c>
      <c r="D5">
        <v>2</v>
      </c>
      <c r="E5">
        <v>6</v>
      </c>
      <c r="F5">
        <f t="shared" ref="F5:F68" si="0">(E5 - MIN($E$4:$E$183)) / (MAX($E$4:$E$183) - MIN($E$4:$E$183))</f>
        <v>0.54545454545454541</v>
      </c>
      <c r="G5">
        <v>9</v>
      </c>
      <c r="H5">
        <f t="shared" ref="H5:H68" si="1">(G5 - MIN($G$4:$G$183)) / (MAX($G$4:$G$183) - MIN($G$4:$G$183))</f>
        <v>0.8</v>
      </c>
      <c r="I5" s="12">
        <f t="shared" ref="I5:I68" si="2">1/2*(F5+H5)</f>
        <v>0.67272727272727273</v>
      </c>
    </row>
    <row r="6" spans="1:9" x14ac:dyDescent="0.3">
      <c r="A6" s="8" t="s">
        <v>4</v>
      </c>
      <c r="B6" s="8">
        <v>5</v>
      </c>
      <c r="D6">
        <v>3</v>
      </c>
      <c r="E6">
        <v>5.666666666666667</v>
      </c>
      <c r="F6">
        <f t="shared" si="0"/>
        <v>0.5</v>
      </c>
      <c r="G6">
        <v>8</v>
      </c>
      <c r="H6">
        <f t="shared" si="1"/>
        <v>0.6</v>
      </c>
      <c r="I6" s="12">
        <f t="shared" si="2"/>
        <v>0.55000000000000004</v>
      </c>
    </row>
    <row r="7" spans="1:9" x14ac:dyDescent="0.3">
      <c r="A7" s="8" t="s">
        <v>5</v>
      </c>
      <c r="B7" s="8" t="s">
        <v>6</v>
      </c>
      <c r="D7">
        <v>4</v>
      </c>
      <c r="E7">
        <v>4.5</v>
      </c>
      <c r="F7">
        <f t="shared" si="0"/>
        <v>0.34090909090909088</v>
      </c>
      <c r="G7">
        <v>9</v>
      </c>
      <c r="H7">
        <f t="shared" si="1"/>
        <v>0.8</v>
      </c>
      <c r="I7" s="12">
        <f t="shared" si="2"/>
        <v>0.57045454545454544</v>
      </c>
    </row>
    <row r="8" spans="1:9" x14ac:dyDescent="0.3">
      <c r="D8">
        <v>5</v>
      </c>
      <c r="E8">
        <v>5.333333333333333</v>
      </c>
      <c r="F8">
        <f t="shared" si="0"/>
        <v>0.45454545454545447</v>
      </c>
      <c r="G8">
        <v>9</v>
      </c>
      <c r="H8">
        <f t="shared" si="1"/>
        <v>0.8</v>
      </c>
      <c r="I8" s="12">
        <f t="shared" si="2"/>
        <v>0.6272727272727272</v>
      </c>
    </row>
    <row r="9" spans="1:9" x14ac:dyDescent="0.3">
      <c r="A9" s="4" t="s">
        <v>0</v>
      </c>
      <c r="B9" s="4">
        <v>2</v>
      </c>
      <c r="D9">
        <v>1</v>
      </c>
      <c r="E9">
        <v>8.1666666666666661</v>
      </c>
      <c r="F9">
        <f t="shared" si="0"/>
        <v>0.84090909090909072</v>
      </c>
      <c r="G9">
        <v>7</v>
      </c>
      <c r="H9">
        <f t="shared" si="1"/>
        <v>0.4</v>
      </c>
      <c r="I9" s="12">
        <f t="shared" si="2"/>
        <v>0.62045454545454537</v>
      </c>
    </row>
    <row r="10" spans="1:9" x14ac:dyDescent="0.3">
      <c r="A10" s="8" t="s">
        <v>3</v>
      </c>
      <c r="B10" s="8">
        <v>5</v>
      </c>
      <c r="D10">
        <v>2</v>
      </c>
      <c r="E10">
        <v>7.5</v>
      </c>
      <c r="F10">
        <f t="shared" si="0"/>
        <v>0.74999999999999989</v>
      </c>
      <c r="G10">
        <v>9</v>
      </c>
      <c r="H10">
        <f t="shared" si="1"/>
        <v>0.8</v>
      </c>
      <c r="I10" s="12">
        <f t="shared" si="2"/>
        <v>0.77499999999999991</v>
      </c>
    </row>
    <row r="11" spans="1:9" x14ac:dyDescent="0.3">
      <c r="A11" s="8" t="s">
        <v>4</v>
      </c>
      <c r="B11" s="8">
        <v>10</v>
      </c>
      <c r="D11">
        <v>3</v>
      </c>
      <c r="E11">
        <v>7.333333333333333</v>
      </c>
      <c r="F11">
        <f t="shared" si="0"/>
        <v>0.72727272727272718</v>
      </c>
      <c r="G11">
        <v>8</v>
      </c>
      <c r="H11">
        <f t="shared" si="1"/>
        <v>0.6</v>
      </c>
      <c r="I11" s="12">
        <f t="shared" si="2"/>
        <v>0.66363636363636358</v>
      </c>
    </row>
    <row r="12" spans="1:9" x14ac:dyDescent="0.3">
      <c r="A12" s="8" t="s">
        <v>5</v>
      </c>
      <c r="B12" s="8" t="s">
        <v>6</v>
      </c>
      <c r="D12">
        <v>4</v>
      </c>
      <c r="E12">
        <v>6.333333333333333</v>
      </c>
      <c r="F12">
        <f t="shared" si="0"/>
        <v>0.59090909090909083</v>
      </c>
      <c r="G12">
        <v>8</v>
      </c>
      <c r="H12">
        <f t="shared" si="1"/>
        <v>0.6</v>
      </c>
      <c r="I12" s="12">
        <f t="shared" si="2"/>
        <v>0.59545454545454546</v>
      </c>
    </row>
    <row r="13" spans="1:9" x14ac:dyDescent="0.3">
      <c r="D13">
        <v>5</v>
      </c>
      <c r="E13">
        <v>7.833333333333333</v>
      </c>
      <c r="F13">
        <f t="shared" si="0"/>
        <v>0.7954545454545453</v>
      </c>
      <c r="G13">
        <v>9</v>
      </c>
      <c r="H13">
        <f t="shared" si="1"/>
        <v>0.8</v>
      </c>
      <c r="I13" s="12">
        <f t="shared" si="2"/>
        <v>0.79772727272727262</v>
      </c>
    </row>
    <row r="14" spans="1:9" x14ac:dyDescent="0.3">
      <c r="D14">
        <v>6</v>
      </c>
      <c r="E14">
        <v>5.166666666666667</v>
      </c>
      <c r="F14">
        <f t="shared" si="0"/>
        <v>0.43181818181818182</v>
      </c>
      <c r="G14">
        <v>9</v>
      </c>
      <c r="H14">
        <f t="shared" si="1"/>
        <v>0.8</v>
      </c>
      <c r="I14" s="12">
        <f t="shared" si="2"/>
        <v>0.61590909090909096</v>
      </c>
    </row>
    <row r="15" spans="1:9" x14ac:dyDescent="0.3">
      <c r="D15">
        <v>7</v>
      </c>
      <c r="E15">
        <v>6</v>
      </c>
      <c r="F15">
        <f t="shared" si="0"/>
        <v>0.54545454545454541</v>
      </c>
      <c r="G15">
        <v>9</v>
      </c>
      <c r="H15">
        <f t="shared" si="1"/>
        <v>0.8</v>
      </c>
      <c r="I15" s="12">
        <f t="shared" si="2"/>
        <v>0.67272727272727273</v>
      </c>
    </row>
    <row r="16" spans="1:9" x14ac:dyDescent="0.3">
      <c r="D16">
        <v>8</v>
      </c>
      <c r="E16">
        <v>9.1666666666666661</v>
      </c>
      <c r="F16">
        <f t="shared" si="0"/>
        <v>0.97727272727272707</v>
      </c>
      <c r="G16">
        <v>9</v>
      </c>
      <c r="H16">
        <f t="shared" si="1"/>
        <v>0.8</v>
      </c>
      <c r="I16" s="12">
        <f t="shared" si="2"/>
        <v>0.88863636363636356</v>
      </c>
    </row>
    <row r="17" spans="1:9" x14ac:dyDescent="0.3">
      <c r="D17">
        <v>9</v>
      </c>
      <c r="E17">
        <v>7.833333333333333</v>
      </c>
      <c r="F17">
        <f t="shared" si="0"/>
        <v>0.7954545454545453</v>
      </c>
      <c r="G17">
        <v>9</v>
      </c>
      <c r="H17">
        <f t="shared" si="1"/>
        <v>0.8</v>
      </c>
      <c r="I17" s="12">
        <f t="shared" si="2"/>
        <v>0.79772727272727262</v>
      </c>
    </row>
    <row r="18" spans="1:9" x14ac:dyDescent="0.3">
      <c r="D18">
        <v>10</v>
      </c>
      <c r="E18">
        <v>6.833333333333333</v>
      </c>
      <c r="F18">
        <f t="shared" si="0"/>
        <v>0.65909090909090895</v>
      </c>
      <c r="G18">
        <v>10</v>
      </c>
      <c r="H18">
        <f t="shared" si="1"/>
        <v>1</v>
      </c>
      <c r="I18" s="12">
        <f t="shared" si="2"/>
        <v>0.82954545454545447</v>
      </c>
    </row>
    <row r="19" spans="1:9" x14ac:dyDescent="0.3">
      <c r="A19" s="4" t="s">
        <v>0</v>
      </c>
      <c r="B19" s="4">
        <v>3</v>
      </c>
      <c r="D19">
        <v>1</v>
      </c>
      <c r="E19">
        <v>7.166666666666667</v>
      </c>
      <c r="F19">
        <f t="shared" si="0"/>
        <v>0.70454545454545447</v>
      </c>
      <c r="G19">
        <v>7</v>
      </c>
      <c r="H19">
        <f t="shared" si="1"/>
        <v>0.4</v>
      </c>
      <c r="I19" s="12">
        <f t="shared" si="2"/>
        <v>0.55227272727272725</v>
      </c>
    </row>
    <row r="20" spans="1:9" x14ac:dyDescent="0.3">
      <c r="A20" s="8" t="s">
        <v>3</v>
      </c>
      <c r="B20" s="8">
        <v>5</v>
      </c>
      <c r="D20">
        <v>2</v>
      </c>
      <c r="E20">
        <v>8</v>
      </c>
      <c r="F20">
        <f t="shared" si="0"/>
        <v>0.81818181818181812</v>
      </c>
      <c r="G20">
        <v>9</v>
      </c>
      <c r="H20">
        <f t="shared" si="1"/>
        <v>0.8</v>
      </c>
      <c r="I20" s="12">
        <f t="shared" si="2"/>
        <v>0.80909090909090908</v>
      </c>
    </row>
    <row r="21" spans="1:9" x14ac:dyDescent="0.3">
      <c r="A21" s="8" t="s">
        <v>4</v>
      </c>
      <c r="B21" s="8">
        <v>15</v>
      </c>
      <c r="D21">
        <v>3</v>
      </c>
      <c r="E21">
        <v>6.666666666666667</v>
      </c>
      <c r="F21">
        <f t="shared" si="0"/>
        <v>0.63636363636363635</v>
      </c>
      <c r="G21">
        <v>8</v>
      </c>
      <c r="H21">
        <f t="shared" si="1"/>
        <v>0.6</v>
      </c>
      <c r="I21" s="12">
        <f t="shared" si="2"/>
        <v>0.61818181818181817</v>
      </c>
    </row>
    <row r="22" spans="1:9" x14ac:dyDescent="0.3">
      <c r="A22" s="8" t="s">
        <v>5</v>
      </c>
      <c r="B22" s="8" t="s">
        <v>6</v>
      </c>
      <c r="D22">
        <v>4</v>
      </c>
      <c r="E22">
        <v>6.166666666666667</v>
      </c>
      <c r="F22">
        <f t="shared" si="0"/>
        <v>0.56818181818181812</v>
      </c>
      <c r="G22">
        <v>8</v>
      </c>
      <c r="H22">
        <f t="shared" si="1"/>
        <v>0.6</v>
      </c>
      <c r="I22" s="12">
        <f t="shared" si="2"/>
        <v>0.58409090909090899</v>
      </c>
    </row>
    <row r="23" spans="1:9" x14ac:dyDescent="0.3">
      <c r="D23">
        <v>5</v>
      </c>
      <c r="E23">
        <v>7.166666666666667</v>
      </c>
      <c r="F23">
        <f t="shared" si="0"/>
        <v>0.70454545454545447</v>
      </c>
      <c r="G23">
        <v>9</v>
      </c>
      <c r="H23">
        <f t="shared" si="1"/>
        <v>0.8</v>
      </c>
      <c r="I23" s="12">
        <f t="shared" si="2"/>
        <v>0.7522727272727272</v>
      </c>
    </row>
    <row r="24" spans="1:9" x14ac:dyDescent="0.3">
      <c r="D24">
        <v>6</v>
      </c>
      <c r="E24">
        <v>8</v>
      </c>
      <c r="F24">
        <f t="shared" si="0"/>
        <v>0.81818181818181812</v>
      </c>
      <c r="G24">
        <v>7</v>
      </c>
      <c r="H24">
        <f t="shared" si="1"/>
        <v>0.4</v>
      </c>
      <c r="I24" s="12">
        <f t="shared" si="2"/>
        <v>0.60909090909090913</v>
      </c>
    </row>
    <row r="25" spans="1:9" x14ac:dyDescent="0.3">
      <c r="D25">
        <v>7</v>
      </c>
      <c r="E25">
        <v>9</v>
      </c>
      <c r="F25">
        <f t="shared" si="0"/>
        <v>0.95454545454545447</v>
      </c>
      <c r="G25">
        <v>8</v>
      </c>
      <c r="H25">
        <f t="shared" si="1"/>
        <v>0.6</v>
      </c>
      <c r="I25" s="12">
        <f t="shared" si="2"/>
        <v>0.77727272727272723</v>
      </c>
    </row>
    <row r="26" spans="1:9" x14ac:dyDescent="0.3">
      <c r="D26">
        <v>8</v>
      </c>
      <c r="E26">
        <v>6.166666666666667</v>
      </c>
      <c r="F26">
        <f t="shared" si="0"/>
        <v>0.56818181818181812</v>
      </c>
      <c r="G26">
        <v>9</v>
      </c>
      <c r="H26">
        <f t="shared" si="1"/>
        <v>0.8</v>
      </c>
      <c r="I26" s="12">
        <f t="shared" si="2"/>
        <v>0.68409090909090908</v>
      </c>
    </row>
    <row r="27" spans="1:9" x14ac:dyDescent="0.3">
      <c r="D27">
        <v>9</v>
      </c>
      <c r="E27">
        <v>8</v>
      </c>
      <c r="F27">
        <f t="shared" si="0"/>
        <v>0.81818181818181812</v>
      </c>
      <c r="G27">
        <v>9</v>
      </c>
      <c r="H27">
        <f t="shared" si="1"/>
        <v>0.8</v>
      </c>
      <c r="I27" s="12">
        <f t="shared" si="2"/>
        <v>0.80909090909090908</v>
      </c>
    </row>
    <row r="28" spans="1:9" x14ac:dyDescent="0.3">
      <c r="D28">
        <v>10</v>
      </c>
      <c r="E28">
        <v>8</v>
      </c>
      <c r="F28">
        <f t="shared" si="0"/>
        <v>0.81818181818181812</v>
      </c>
      <c r="G28">
        <v>8</v>
      </c>
      <c r="H28">
        <f t="shared" si="1"/>
        <v>0.6</v>
      </c>
      <c r="I28" s="12">
        <f t="shared" si="2"/>
        <v>0.70909090909090899</v>
      </c>
    </row>
    <row r="29" spans="1:9" x14ac:dyDescent="0.3">
      <c r="D29">
        <v>11</v>
      </c>
      <c r="E29">
        <v>8.5</v>
      </c>
      <c r="F29">
        <f t="shared" si="0"/>
        <v>0.88636363636363624</v>
      </c>
      <c r="G29">
        <v>9</v>
      </c>
      <c r="H29">
        <f t="shared" si="1"/>
        <v>0.8</v>
      </c>
      <c r="I29" s="12">
        <f t="shared" si="2"/>
        <v>0.84318181818181814</v>
      </c>
    </row>
    <row r="30" spans="1:9" x14ac:dyDescent="0.3">
      <c r="D30">
        <v>12</v>
      </c>
      <c r="E30">
        <v>8.1666666666666661</v>
      </c>
      <c r="F30">
        <f t="shared" si="0"/>
        <v>0.84090909090909072</v>
      </c>
      <c r="G30">
        <v>9</v>
      </c>
      <c r="H30">
        <f t="shared" si="1"/>
        <v>0.8</v>
      </c>
      <c r="I30" s="12">
        <f t="shared" si="2"/>
        <v>0.82045454545454533</v>
      </c>
    </row>
    <row r="31" spans="1:9" x14ac:dyDescent="0.3">
      <c r="D31">
        <v>13</v>
      </c>
      <c r="E31">
        <v>6.833333333333333</v>
      </c>
      <c r="F31">
        <f t="shared" si="0"/>
        <v>0.65909090909090895</v>
      </c>
      <c r="G31">
        <v>9</v>
      </c>
      <c r="H31">
        <f t="shared" si="1"/>
        <v>0.8</v>
      </c>
      <c r="I31" s="12">
        <f t="shared" si="2"/>
        <v>0.7295454545454545</v>
      </c>
    </row>
    <row r="32" spans="1:9" x14ac:dyDescent="0.3">
      <c r="D32">
        <v>14</v>
      </c>
      <c r="E32">
        <v>6.666666666666667</v>
      </c>
      <c r="F32">
        <f t="shared" si="0"/>
        <v>0.63636363636363635</v>
      </c>
      <c r="G32">
        <v>8</v>
      </c>
      <c r="H32">
        <f t="shared" si="1"/>
        <v>0.6</v>
      </c>
      <c r="I32" s="12">
        <f t="shared" si="2"/>
        <v>0.61818181818181817</v>
      </c>
    </row>
    <row r="33" spans="1:9" x14ac:dyDescent="0.3">
      <c r="D33">
        <v>15</v>
      </c>
      <c r="E33">
        <v>6.333333333333333</v>
      </c>
      <c r="F33">
        <f t="shared" si="0"/>
        <v>0.59090909090909083</v>
      </c>
      <c r="G33">
        <v>8</v>
      </c>
      <c r="H33">
        <f t="shared" si="1"/>
        <v>0.6</v>
      </c>
      <c r="I33" s="12">
        <f t="shared" si="2"/>
        <v>0.59545454545454546</v>
      </c>
    </row>
    <row r="34" spans="1:9" x14ac:dyDescent="0.3">
      <c r="A34" s="4" t="s">
        <v>0</v>
      </c>
      <c r="B34" s="4">
        <v>4</v>
      </c>
      <c r="D34">
        <v>1</v>
      </c>
      <c r="E34">
        <v>7.333333333333333</v>
      </c>
      <c r="F34">
        <f t="shared" si="0"/>
        <v>0.72727272727272718</v>
      </c>
      <c r="G34">
        <v>7</v>
      </c>
      <c r="H34">
        <f t="shared" si="1"/>
        <v>0.4</v>
      </c>
      <c r="I34" s="12">
        <f t="shared" si="2"/>
        <v>0.5636363636363636</v>
      </c>
    </row>
    <row r="35" spans="1:9" x14ac:dyDescent="0.3">
      <c r="A35" s="8" t="s">
        <v>3</v>
      </c>
      <c r="B35" s="8">
        <v>5</v>
      </c>
      <c r="D35">
        <v>2</v>
      </c>
      <c r="E35">
        <v>2.6666666666666665</v>
      </c>
      <c r="F35">
        <f t="shared" si="0"/>
        <v>9.0909090909090884E-2</v>
      </c>
      <c r="G35">
        <v>8</v>
      </c>
      <c r="H35">
        <f t="shared" si="1"/>
        <v>0.6</v>
      </c>
      <c r="I35" s="12">
        <f t="shared" si="2"/>
        <v>0.34545454545454546</v>
      </c>
    </row>
    <row r="36" spans="1:9" x14ac:dyDescent="0.3">
      <c r="A36" s="8" t="s">
        <v>4</v>
      </c>
      <c r="B36" s="8">
        <v>5</v>
      </c>
      <c r="D36">
        <v>3</v>
      </c>
      <c r="E36">
        <v>6.5</v>
      </c>
      <c r="F36">
        <f t="shared" si="0"/>
        <v>0.61363636363636354</v>
      </c>
      <c r="G36">
        <v>7</v>
      </c>
      <c r="H36">
        <f t="shared" si="1"/>
        <v>0.4</v>
      </c>
      <c r="I36" s="12">
        <f t="shared" si="2"/>
        <v>0.50681818181818183</v>
      </c>
    </row>
    <row r="37" spans="1:9" x14ac:dyDescent="0.3">
      <c r="A37" s="8" t="s">
        <v>5</v>
      </c>
      <c r="B37" s="8" t="s">
        <v>7</v>
      </c>
      <c r="D37">
        <v>4</v>
      </c>
      <c r="E37">
        <v>7.833333333333333</v>
      </c>
      <c r="F37">
        <f t="shared" si="0"/>
        <v>0.7954545454545453</v>
      </c>
      <c r="G37">
        <v>7</v>
      </c>
      <c r="H37">
        <f t="shared" si="1"/>
        <v>0.4</v>
      </c>
      <c r="I37" s="12">
        <f t="shared" si="2"/>
        <v>0.59772727272727266</v>
      </c>
    </row>
    <row r="38" spans="1:9" x14ac:dyDescent="0.3">
      <c r="D38">
        <v>5</v>
      </c>
      <c r="E38">
        <v>6.166666666666667</v>
      </c>
      <c r="F38">
        <f t="shared" si="0"/>
        <v>0.56818181818181812</v>
      </c>
      <c r="G38">
        <v>8</v>
      </c>
      <c r="H38">
        <f t="shared" si="1"/>
        <v>0.6</v>
      </c>
      <c r="I38" s="12">
        <f t="shared" si="2"/>
        <v>0.58409090909090899</v>
      </c>
    </row>
    <row r="39" spans="1:9" x14ac:dyDescent="0.3">
      <c r="A39" s="4" t="s">
        <v>0</v>
      </c>
      <c r="B39" s="4">
        <v>5</v>
      </c>
      <c r="D39">
        <v>1</v>
      </c>
      <c r="E39">
        <v>7.333333333333333</v>
      </c>
      <c r="F39">
        <f t="shared" si="0"/>
        <v>0.72727272727272718</v>
      </c>
      <c r="G39">
        <v>8</v>
      </c>
      <c r="H39">
        <f t="shared" si="1"/>
        <v>0.6</v>
      </c>
      <c r="I39" s="12">
        <f t="shared" si="2"/>
        <v>0.66363636363636358</v>
      </c>
    </row>
    <row r="40" spans="1:9" x14ac:dyDescent="0.3">
      <c r="A40" s="8" t="s">
        <v>3</v>
      </c>
      <c r="B40" s="8">
        <v>5</v>
      </c>
      <c r="D40">
        <v>2</v>
      </c>
      <c r="E40">
        <v>2.8333333333333335</v>
      </c>
      <c r="F40">
        <f t="shared" si="0"/>
        <v>0.11363636363636365</v>
      </c>
      <c r="G40">
        <v>8</v>
      </c>
      <c r="H40">
        <f t="shared" si="1"/>
        <v>0.6</v>
      </c>
      <c r="I40" s="12">
        <f t="shared" si="2"/>
        <v>0.35681818181818181</v>
      </c>
    </row>
    <row r="41" spans="1:9" x14ac:dyDescent="0.3">
      <c r="A41" s="8" t="s">
        <v>4</v>
      </c>
      <c r="B41" s="8">
        <v>10</v>
      </c>
      <c r="D41">
        <v>3</v>
      </c>
      <c r="E41">
        <v>6.333333333333333</v>
      </c>
      <c r="F41">
        <f t="shared" si="0"/>
        <v>0.59090909090909083</v>
      </c>
      <c r="G41">
        <v>6</v>
      </c>
      <c r="H41">
        <f t="shared" si="1"/>
        <v>0.2</v>
      </c>
      <c r="I41" s="12">
        <f t="shared" si="2"/>
        <v>0.39545454545454539</v>
      </c>
    </row>
    <row r="42" spans="1:9" x14ac:dyDescent="0.3">
      <c r="A42" s="8" t="s">
        <v>5</v>
      </c>
      <c r="B42" s="8" t="s">
        <v>7</v>
      </c>
      <c r="D42">
        <v>4</v>
      </c>
      <c r="E42">
        <v>6.833333333333333</v>
      </c>
      <c r="F42">
        <f t="shared" si="0"/>
        <v>0.65909090909090895</v>
      </c>
      <c r="G42">
        <v>5</v>
      </c>
      <c r="H42">
        <f t="shared" si="1"/>
        <v>0</v>
      </c>
      <c r="I42" s="12">
        <f t="shared" si="2"/>
        <v>0.32954545454545447</v>
      </c>
    </row>
    <row r="43" spans="1:9" x14ac:dyDescent="0.3">
      <c r="D43">
        <v>5</v>
      </c>
      <c r="E43">
        <v>5.333333333333333</v>
      </c>
      <c r="F43">
        <f t="shared" si="0"/>
        <v>0.45454545454545447</v>
      </c>
      <c r="G43">
        <v>9</v>
      </c>
      <c r="H43">
        <f t="shared" si="1"/>
        <v>0.8</v>
      </c>
      <c r="I43" s="12">
        <f t="shared" si="2"/>
        <v>0.6272727272727272</v>
      </c>
    </row>
    <row r="44" spans="1:9" x14ac:dyDescent="0.3">
      <c r="D44">
        <v>6</v>
      </c>
      <c r="E44">
        <v>4.666666666666667</v>
      </c>
      <c r="F44">
        <f t="shared" si="0"/>
        <v>0.36363636363636365</v>
      </c>
      <c r="G44">
        <v>7</v>
      </c>
      <c r="H44">
        <f t="shared" si="1"/>
        <v>0.4</v>
      </c>
      <c r="I44" s="12">
        <f t="shared" si="2"/>
        <v>0.38181818181818183</v>
      </c>
    </row>
    <row r="45" spans="1:9" x14ac:dyDescent="0.3">
      <c r="D45">
        <v>7</v>
      </c>
      <c r="E45">
        <v>8.5</v>
      </c>
      <c r="F45">
        <f t="shared" si="0"/>
        <v>0.88636363636363624</v>
      </c>
      <c r="G45">
        <v>8</v>
      </c>
      <c r="H45">
        <f t="shared" si="1"/>
        <v>0.6</v>
      </c>
      <c r="I45" s="12">
        <f t="shared" si="2"/>
        <v>0.74318181818181817</v>
      </c>
    </row>
    <row r="46" spans="1:9" x14ac:dyDescent="0.3">
      <c r="D46">
        <v>8</v>
      </c>
      <c r="E46">
        <v>7.5</v>
      </c>
      <c r="F46">
        <f t="shared" si="0"/>
        <v>0.74999999999999989</v>
      </c>
      <c r="G46">
        <v>6</v>
      </c>
      <c r="H46">
        <f t="shared" si="1"/>
        <v>0.2</v>
      </c>
      <c r="I46" s="12">
        <f t="shared" si="2"/>
        <v>0.47499999999999998</v>
      </c>
    </row>
    <row r="47" spans="1:9" x14ac:dyDescent="0.3">
      <c r="D47">
        <v>9</v>
      </c>
      <c r="E47">
        <v>9.3333333333333339</v>
      </c>
      <c r="F47">
        <f t="shared" si="0"/>
        <v>1</v>
      </c>
      <c r="G47">
        <v>7</v>
      </c>
      <c r="H47">
        <f t="shared" si="1"/>
        <v>0.4</v>
      </c>
      <c r="I47" s="12">
        <f t="shared" si="2"/>
        <v>0.7</v>
      </c>
    </row>
    <row r="48" spans="1:9" x14ac:dyDescent="0.3">
      <c r="D48">
        <v>10</v>
      </c>
      <c r="E48">
        <v>8.3333333333333339</v>
      </c>
      <c r="F48">
        <f t="shared" si="0"/>
        <v>0.86363636363636365</v>
      </c>
      <c r="G48">
        <v>8</v>
      </c>
      <c r="H48">
        <f t="shared" si="1"/>
        <v>0.6</v>
      </c>
      <c r="I48" s="12">
        <f t="shared" si="2"/>
        <v>0.73181818181818181</v>
      </c>
    </row>
    <row r="49" spans="1:9" x14ac:dyDescent="0.3">
      <c r="A49" s="4" t="s">
        <v>0</v>
      </c>
      <c r="B49" s="4">
        <v>6</v>
      </c>
      <c r="D49">
        <v>1</v>
      </c>
      <c r="E49">
        <v>6.5</v>
      </c>
      <c r="F49">
        <f t="shared" si="0"/>
        <v>0.61363636363636354</v>
      </c>
      <c r="G49">
        <v>9</v>
      </c>
      <c r="H49">
        <f t="shared" si="1"/>
        <v>0.8</v>
      </c>
      <c r="I49" s="12">
        <f t="shared" si="2"/>
        <v>0.70681818181818179</v>
      </c>
    </row>
    <row r="50" spans="1:9" x14ac:dyDescent="0.3">
      <c r="A50" s="8" t="s">
        <v>3</v>
      </c>
      <c r="B50" s="8">
        <v>5</v>
      </c>
      <c r="D50">
        <v>2</v>
      </c>
      <c r="E50">
        <v>2.3333333333333335</v>
      </c>
      <c r="F50">
        <f t="shared" si="0"/>
        <v>4.545454545454547E-2</v>
      </c>
      <c r="G50">
        <v>9</v>
      </c>
      <c r="H50">
        <f t="shared" si="1"/>
        <v>0.8</v>
      </c>
      <c r="I50" s="12">
        <f t="shared" si="2"/>
        <v>0.42272727272727273</v>
      </c>
    </row>
    <row r="51" spans="1:9" x14ac:dyDescent="0.3">
      <c r="A51" s="8" t="s">
        <v>4</v>
      </c>
      <c r="B51" s="8">
        <v>15</v>
      </c>
      <c r="D51">
        <v>3</v>
      </c>
      <c r="E51">
        <v>5.833333333333333</v>
      </c>
      <c r="F51">
        <f t="shared" si="0"/>
        <v>0.5227272727272726</v>
      </c>
      <c r="G51">
        <v>7</v>
      </c>
      <c r="H51">
        <f t="shared" si="1"/>
        <v>0.4</v>
      </c>
      <c r="I51" s="12">
        <f t="shared" si="2"/>
        <v>0.46136363636363631</v>
      </c>
    </row>
    <row r="52" spans="1:9" x14ac:dyDescent="0.3">
      <c r="A52" s="8" t="s">
        <v>5</v>
      </c>
      <c r="B52" s="8" t="s">
        <v>7</v>
      </c>
      <c r="D52">
        <v>4</v>
      </c>
      <c r="E52">
        <v>6.166666666666667</v>
      </c>
      <c r="F52">
        <f t="shared" si="0"/>
        <v>0.56818181818181812</v>
      </c>
      <c r="G52">
        <v>6</v>
      </c>
      <c r="H52">
        <f t="shared" si="1"/>
        <v>0.2</v>
      </c>
      <c r="I52" s="12">
        <f t="shared" si="2"/>
        <v>0.38409090909090904</v>
      </c>
    </row>
    <row r="53" spans="1:9" x14ac:dyDescent="0.3">
      <c r="D53">
        <v>5</v>
      </c>
      <c r="E53">
        <v>7.5</v>
      </c>
      <c r="F53">
        <f t="shared" si="0"/>
        <v>0.74999999999999989</v>
      </c>
      <c r="G53">
        <v>8</v>
      </c>
      <c r="H53">
        <f t="shared" si="1"/>
        <v>0.6</v>
      </c>
      <c r="I53" s="12">
        <f t="shared" si="2"/>
        <v>0.67499999999999993</v>
      </c>
    </row>
    <row r="54" spans="1:9" x14ac:dyDescent="0.3">
      <c r="D54">
        <v>6</v>
      </c>
      <c r="E54">
        <v>8.1666666666666661</v>
      </c>
      <c r="F54">
        <f t="shared" si="0"/>
        <v>0.84090909090909072</v>
      </c>
      <c r="G54">
        <v>9</v>
      </c>
      <c r="H54">
        <f t="shared" si="1"/>
        <v>0.8</v>
      </c>
      <c r="I54" s="12">
        <f t="shared" si="2"/>
        <v>0.82045454545454533</v>
      </c>
    </row>
    <row r="55" spans="1:9" x14ac:dyDescent="0.3">
      <c r="D55">
        <v>7</v>
      </c>
      <c r="E55">
        <v>8.5</v>
      </c>
      <c r="F55">
        <f t="shared" si="0"/>
        <v>0.88636363636363624</v>
      </c>
      <c r="G55">
        <v>8</v>
      </c>
      <c r="H55">
        <f t="shared" si="1"/>
        <v>0.6</v>
      </c>
      <c r="I55" s="12">
        <f t="shared" si="2"/>
        <v>0.74318181818181817</v>
      </c>
    </row>
    <row r="56" spans="1:9" x14ac:dyDescent="0.3">
      <c r="D56">
        <v>8</v>
      </c>
      <c r="E56">
        <v>7</v>
      </c>
      <c r="F56">
        <f t="shared" si="0"/>
        <v>0.68181818181818177</v>
      </c>
      <c r="G56">
        <v>9</v>
      </c>
      <c r="H56">
        <f t="shared" si="1"/>
        <v>0.8</v>
      </c>
      <c r="I56" s="12">
        <f t="shared" si="2"/>
        <v>0.74090909090909096</v>
      </c>
    </row>
    <row r="57" spans="1:9" x14ac:dyDescent="0.3">
      <c r="D57">
        <v>9</v>
      </c>
      <c r="E57">
        <v>8.6666666666666661</v>
      </c>
      <c r="F57">
        <f t="shared" si="0"/>
        <v>0.90909090909090895</v>
      </c>
      <c r="G57">
        <v>8</v>
      </c>
      <c r="H57">
        <f t="shared" si="1"/>
        <v>0.6</v>
      </c>
      <c r="I57" s="12">
        <f t="shared" si="2"/>
        <v>0.75454545454545441</v>
      </c>
    </row>
    <row r="58" spans="1:9" x14ac:dyDescent="0.3">
      <c r="D58">
        <v>10</v>
      </c>
      <c r="E58">
        <v>9</v>
      </c>
      <c r="F58">
        <f t="shared" si="0"/>
        <v>0.95454545454545447</v>
      </c>
      <c r="G58">
        <v>9</v>
      </c>
      <c r="H58">
        <f t="shared" si="1"/>
        <v>0.8</v>
      </c>
      <c r="I58" s="12">
        <f t="shared" si="2"/>
        <v>0.8772727272727272</v>
      </c>
    </row>
    <row r="59" spans="1:9" x14ac:dyDescent="0.3">
      <c r="D59">
        <v>11</v>
      </c>
      <c r="E59">
        <v>7</v>
      </c>
      <c r="F59">
        <f t="shared" si="0"/>
        <v>0.68181818181818177</v>
      </c>
      <c r="G59">
        <v>9</v>
      </c>
      <c r="H59">
        <f t="shared" si="1"/>
        <v>0.8</v>
      </c>
      <c r="I59" s="12">
        <f t="shared" si="2"/>
        <v>0.74090909090909096</v>
      </c>
    </row>
    <row r="60" spans="1:9" x14ac:dyDescent="0.3">
      <c r="D60">
        <v>12</v>
      </c>
      <c r="E60">
        <v>8</v>
      </c>
      <c r="F60">
        <f t="shared" si="0"/>
        <v>0.81818181818181812</v>
      </c>
      <c r="G60">
        <v>9</v>
      </c>
      <c r="H60">
        <f t="shared" si="1"/>
        <v>0.8</v>
      </c>
      <c r="I60" s="12">
        <f t="shared" si="2"/>
        <v>0.80909090909090908</v>
      </c>
    </row>
    <row r="61" spans="1:9" x14ac:dyDescent="0.3">
      <c r="D61">
        <v>13</v>
      </c>
      <c r="E61">
        <v>8</v>
      </c>
      <c r="F61">
        <f t="shared" si="0"/>
        <v>0.81818181818181812</v>
      </c>
      <c r="G61">
        <v>9</v>
      </c>
      <c r="H61">
        <f t="shared" si="1"/>
        <v>0.8</v>
      </c>
      <c r="I61" s="12">
        <f t="shared" si="2"/>
        <v>0.80909090909090908</v>
      </c>
    </row>
    <row r="62" spans="1:9" x14ac:dyDescent="0.3">
      <c r="D62">
        <v>14</v>
      </c>
      <c r="E62">
        <v>9.1666666666666661</v>
      </c>
      <c r="F62">
        <f t="shared" si="0"/>
        <v>0.97727272727272707</v>
      </c>
      <c r="G62">
        <v>9</v>
      </c>
      <c r="H62">
        <f t="shared" si="1"/>
        <v>0.8</v>
      </c>
      <c r="I62" s="12">
        <f t="shared" si="2"/>
        <v>0.88863636363636356</v>
      </c>
    </row>
    <row r="63" spans="1:9" x14ac:dyDescent="0.3">
      <c r="D63">
        <v>15</v>
      </c>
      <c r="E63">
        <v>7.833333333333333</v>
      </c>
      <c r="F63">
        <f t="shared" si="0"/>
        <v>0.7954545454545453</v>
      </c>
      <c r="G63">
        <v>8</v>
      </c>
      <c r="H63">
        <f t="shared" si="1"/>
        <v>0.6</v>
      </c>
      <c r="I63" s="12">
        <f t="shared" si="2"/>
        <v>0.69772727272727264</v>
      </c>
    </row>
    <row r="64" spans="1:9" x14ac:dyDescent="0.3">
      <c r="A64" s="4" t="s">
        <v>0</v>
      </c>
      <c r="B64" s="4">
        <v>7</v>
      </c>
      <c r="D64">
        <v>1</v>
      </c>
      <c r="E64">
        <v>5.333333333333333</v>
      </c>
      <c r="F64">
        <f t="shared" si="0"/>
        <v>0.45454545454545447</v>
      </c>
      <c r="G64">
        <v>7</v>
      </c>
      <c r="H64">
        <f t="shared" si="1"/>
        <v>0.4</v>
      </c>
      <c r="I64" s="12">
        <f t="shared" si="2"/>
        <v>0.42727272727272725</v>
      </c>
    </row>
    <row r="65" spans="1:9" x14ac:dyDescent="0.3">
      <c r="A65" s="8" t="s">
        <v>3</v>
      </c>
      <c r="B65" s="8">
        <v>7</v>
      </c>
      <c r="D65">
        <v>2</v>
      </c>
      <c r="E65">
        <v>4.333333333333333</v>
      </c>
      <c r="F65">
        <f t="shared" si="0"/>
        <v>0.31818181818181812</v>
      </c>
      <c r="G65">
        <v>8</v>
      </c>
      <c r="H65">
        <f t="shared" si="1"/>
        <v>0.6</v>
      </c>
      <c r="I65" s="12">
        <f t="shared" si="2"/>
        <v>0.45909090909090905</v>
      </c>
    </row>
    <row r="66" spans="1:9" x14ac:dyDescent="0.3">
      <c r="A66" s="8" t="s">
        <v>4</v>
      </c>
      <c r="B66" s="8">
        <v>5</v>
      </c>
      <c r="D66">
        <v>3</v>
      </c>
      <c r="E66">
        <v>8</v>
      </c>
      <c r="F66">
        <f t="shared" si="0"/>
        <v>0.81818181818181812</v>
      </c>
      <c r="G66">
        <v>8</v>
      </c>
      <c r="H66">
        <f t="shared" si="1"/>
        <v>0.6</v>
      </c>
      <c r="I66" s="12">
        <f t="shared" si="2"/>
        <v>0.70909090909090899</v>
      </c>
    </row>
    <row r="67" spans="1:9" x14ac:dyDescent="0.3">
      <c r="A67" s="8" t="s">
        <v>5</v>
      </c>
      <c r="B67" s="8" t="s">
        <v>6</v>
      </c>
      <c r="D67">
        <v>4</v>
      </c>
      <c r="E67">
        <v>4.666666666666667</v>
      </c>
      <c r="F67">
        <f t="shared" si="0"/>
        <v>0.36363636363636365</v>
      </c>
      <c r="G67">
        <v>8</v>
      </c>
      <c r="H67">
        <f t="shared" si="1"/>
        <v>0.6</v>
      </c>
      <c r="I67" s="12">
        <f t="shared" si="2"/>
        <v>0.48181818181818181</v>
      </c>
    </row>
    <row r="68" spans="1:9" x14ac:dyDescent="0.3">
      <c r="D68">
        <v>5</v>
      </c>
      <c r="E68">
        <v>6.166666666666667</v>
      </c>
      <c r="F68">
        <f t="shared" si="0"/>
        <v>0.56818181818181812</v>
      </c>
      <c r="G68">
        <v>9</v>
      </c>
      <c r="H68">
        <f t="shared" si="1"/>
        <v>0.8</v>
      </c>
      <c r="I68" s="12">
        <f t="shared" si="2"/>
        <v>0.68409090909090908</v>
      </c>
    </row>
    <row r="69" spans="1:9" x14ac:dyDescent="0.3">
      <c r="A69" s="4" t="s">
        <v>0</v>
      </c>
      <c r="B69" s="4">
        <v>8</v>
      </c>
      <c r="D69">
        <v>1</v>
      </c>
      <c r="E69">
        <v>7.666666666666667</v>
      </c>
      <c r="F69">
        <f t="shared" ref="F69:F132" si="3">(E69 - MIN($E$4:$E$183)) / (MAX($E$4:$E$183) - MIN($E$4:$E$183))</f>
        <v>0.77272727272727271</v>
      </c>
      <c r="G69">
        <v>9</v>
      </c>
      <c r="H69">
        <f t="shared" ref="H69:H132" si="4">(G69 - MIN($G$4:$G$183)) / (MAX($G$4:$G$183) - MIN($G$4:$G$183))</f>
        <v>0.8</v>
      </c>
      <c r="I69" s="12">
        <f t="shared" ref="I69:I132" si="5">1/2*(F69+H69)</f>
        <v>0.78636363636363638</v>
      </c>
    </row>
    <row r="70" spans="1:9" x14ac:dyDescent="0.3">
      <c r="A70" s="8" t="s">
        <v>3</v>
      </c>
      <c r="B70" s="8">
        <v>7</v>
      </c>
      <c r="D70">
        <v>2</v>
      </c>
      <c r="E70">
        <v>6.666666666666667</v>
      </c>
      <c r="F70">
        <f t="shared" si="3"/>
        <v>0.63636363636363635</v>
      </c>
      <c r="G70">
        <v>9</v>
      </c>
      <c r="H70">
        <f t="shared" si="4"/>
        <v>0.8</v>
      </c>
      <c r="I70" s="12">
        <f t="shared" si="5"/>
        <v>0.71818181818181825</v>
      </c>
    </row>
    <row r="71" spans="1:9" x14ac:dyDescent="0.3">
      <c r="A71" s="8" t="s">
        <v>4</v>
      </c>
      <c r="B71" s="8">
        <v>10</v>
      </c>
      <c r="D71">
        <v>3</v>
      </c>
      <c r="E71">
        <v>6</v>
      </c>
      <c r="F71">
        <f t="shared" si="3"/>
        <v>0.54545454545454541</v>
      </c>
      <c r="G71">
        <v>7</v>
      </c>
      <c r="H71">
        <f t="shared" si="4"/>
        <v>0.4</v>
      </c>
      <c r="I71" s="12">
        <f t="shared" si="5"/>
        <v>0.47272727272727272</v>
      </c>
    </row>
    <row r="72" spans="1:9" x14ac:dyDescent="0.3">
      <c r="A72" s="8" t="s">
        <v>5</v>
      </c>
      <c r="B72" s="8" t="s">
        <v>6</v>
      </c>
      <c r="D72">
        <v>4</v>
      </c>
      <c r="E72">
        <v>6.666666666666667</v>
      </c>
      <c r="F72">
        <f t="shared" si="3"/>
        <v>0.63636363636363635</v>
      </c>
      <c r="G72">
        <v>7</v>
      </c>
      <c r="H72">
        <f t="shared" si="4"/>
        <v>0.4</v>
      </c>
      <c r="I72" s="12">
        <f t="shared" si="5"/>
        <v>0.51818181818181819</v>
      </c>
    </row>
    <row r="73" spans="1:9" x14ac:dyDescent="0.3">
      <c r="D73">
        <v>5</v>
      </c>
      <c r="E73">
        <v>8</v>
      </c>
      <c r="F73">
        <f t="shared" si="3"/>
        <v>0.81818181818181812</v>
      </c>
      <c r="G73">
        <v>9</v>
      </c>
      <c r="H73">
        <f t="shared" si="4"/>
        <v>0.8</v>
      </c>
      <c r="I73" s="12">
        <f t="shared" si="5"/>
        <v>0.80909090909090908</v>
      </c>
    </row>
    <row r="74" spans="1:9" x14ac:dyDescent="0.3">
      <c r="D74">
        <v>6</v>
      </c>
      <c r="E74">
        <v>7.333333333333333</v>
      </c>
      <c r="F74">
        <f t="shared" si="3"/>
        <v>0.72727272727272718</v>
      </c>
      <c r="G74">
        <v>9</v>
      </c>
      <c r="H74">
        <f t="shared" si="4"/>
        <v>0.8</v>
      </c>
      <c r="I74" s="12">
        <f t="shared" si="5"/>
        <v>0.76363636363636367</v>
      </c>
    </row>
    <row r="75" spans="1:9" x14ac:dyDescent="0.3">
      <c r="D75">
        <v>7</v>
      </c>
      <c r="E75">
        <v>7.5</v>
      </c>
      <c r="F75">
        <f t="shared" si="3"/>
        <v>0.74999999999999989</v>
      </c>
      <c r="G75">
        <v>8</v>
      </c>
      <c r="H75">
        <f t="shared" si="4"/>
        <v>0.6</v>
      </c>
      <c r="I75" s="12">
        <f t="shared" si="5"/>
        <v>0.67499999999999993</v>
      </c>
    </row>
    <row r="76" spans="1:9" x14ac:dyDescent="0.3">
      <c r="D76">
        <v>8</v>
      </c>
      <c r="E76">
        <v>7.333333333333333</v>
      </c>
      <c r="F76">
        <f t="shared" si="3"/>
        <v>0.72727272727272718</v>
      </c>
      <c r="G76">
        <v>8</v>
      </c>
      <c r="H76">
        <f t="shared" si="4"/>
        <v>0.6</v>
      </c>
      <c r="I76" s="12">
        <f t="shared" si="5"/>
        <v>0.66363636363636358</v>
      </c>
    </row>
    <row r="77" spans="1:9" x14ac:dyDescent="0.3">
      <c r="D77">
        <v>9</v>
      </c>
      <c r="E77">
        <v>5.166666666666667</v>
      </c>
      <c r="F77">
        <f t="shared" si="3"/>
        <v>0.43181818181818182</v>
      </c>
      <c r="G77">
        <v>9</v>
      </c>
      <c r="H77">
        <f t="shared" si="4"/>
        <v>0.8</v>
      </c>
      <c r="I77" s="12">
        <f t="shared" si="5"/>
        <v>0.61590909090909096</v>
      </c>
    </row>
    <row r="78" spans="1:9" x14ac:dyDescent="0.3">
      <c r="D78">
        <v>10</v>
      </c>
      <c r="E78">
        <v>7</v>
      </c>
      <c r="F78">
        <f t="shared" si="3"/>
        <v>0.68181818181818177</v>
      </c>
      <c r="G78">
        <v>8</v>
      </c>
      <c r="H78">
        <f t="shared" si="4"/>
        <v>0.6</v>
      </c>
      <c r="I78" s="12">
        <f t="shared" si="5"/>
        <v>0.64090909090909087</v>
      </c>
    </row>
    <row r="79" spans="1:9" x14ac:dyDescent="0.3">
      <c r="A79" s="4" t="s">
        <v>0</v>
      </c>
      <c r="B79" s="4">
        <v>9</v>
      </c>
      <c r="D79">
        <v>1</v>
      </c>
      <c r="E79">
        <v>8.1666666666666661</v>
      </c>
      <c r="F79">
        <f t="shared" si="3"/>
        <v>0.84090909090909072</v>
      </c>
      <c r="G79">
        <v>9</v>
      </c>
      <c r="H79">
        <f t="shared" si="4"/>
        <v>0.8</v>
      </c>
      <c r="I79" s="12">
        <f t="shared" si="5"/>
        <v>0.82045454545454533</v>
      </c>
    </row>
    <row r="80" spans="1:9" x14ac:dyDescent="0.3">
      <c r="A80" s="8" t="s">
        <v>3</v>
      </c>
      <c r="B80" s="8">
        <v>7</v>
      </c>
      <c r="D80">
        <v>2</v>
      </c>
      <c r="E80">
        <v>6.833333333333333</v>
      </c>
      <c r="F80">
        <f t="shared" si="3"/>
        <v>0.65909090909090895</v>
      </c>
      <c r="G80">
        <v>9</v>
      </c>
      <c r="H80">
        <f t="shared" si="4"/>
        <v>0.8</v>
      </c>
      <c r="I80" s="12">
        <f t="shared" si="5"/>
        <v>0.7295454545454545</v>
      </c>
    </row>
    <row r="81" spans="1:9" x14ac:dyDescent="0.3">
      <c r="A81" s="8" t="s">
        <v>4</v>
      </c>
      <c r="B81" s="8">
        <v>15</v>
      </c>
      <c r="D81">
        <v>3</v>
      </c>
      <c r="E81">
        <v>6.833333333333333</v>
      </c>
      <c r="F81">
        <f t="shared" si="3"/>
        <v>0.65909090909090895</v>
      </c>
      <c r="G81">
        <v>8</v>
      </c>
      <c r="H81">
        <f t="shared" si="4"/>
        <v>0.6</v>
      </c>
      <c r="I81" s="12">
        <f t="shared" si="5"/>
        <v>0.62954545454545441</v>
      </c>
    </row>
    <row r="82" spans="1:9" x14ac:dyDescent="0.3">
      <c r="A82" s="8" t="s">
        <v>5</v>
      </c>
      <c r="B82" s="8" t="s">
        <v>6</v>
      </c>
      <c r="D82">
        <v>4</v>
      </c>
      <c r="E82">
        <v>6.166666666666667</v>
      </c>
      <c r="F82">
        <f t="shared" si="3"/>
        <v>0.56818181818181812</v>
      </c>
      <c r="G82">
        <v>9</v>
      </c>
      <c r="H82">
        <f t="shared" si="4"/>
        <v>0.8</v>
      </c>
      <c r="I82" s="12">
        <f t="shared" si="5"/>
        <v>0.68409090909090908</v>
      </c>
    </row>
    <row r="83" spans="1:9" x14ac:dyDescent="0.3">
      <c r="D83">
        <v>5</v>
      </c>
      <c r="E83">
        <v>6</v>
      </c>
      <c r="F83">
        <f t="shared" si="3"/>
        <v>0.54545454545454541</v>
      </c>
      <c r="G83">
        <v>9</v>
      </c>
      <c r="H83">
        <f t="shared" si="4"/>
        <v>0.8</v>
      </c>
      <c r="I83" s="12">
        <f t="shared" si="5"/>
        <v>0.67272727272727273</v>
      </c>
    </row>
    <row r="84" spans="1:9" x14ac:dyDescent="0.3">
      <c r="D84">
        <v>6</v>
      </c>
      <c r="E84">
        <v>7.5</v>
      </c>
      <c r="F84">
        <f t="shared" si="3"/>
        <v>0.74999999999999989</v>
      </c>
      <c r="G84">
        <v>9</v>
      </c>
      <c r="H84">
        <f t="shared" si="4"/>
        <v>0.8</v>
      </c>
      <c r="I84" s="12">
        <f t="shared" si="5"/>
        <v>0.77499999999999991</v>
      </c>
    </row>
    <row r="85" spans="1:9" x14ac:dyDescent="0.3">
      <c r="D85">
        <v>7</v>
      </c>
      <c r="E85">
        <v>5.666666666666667</v>
      </c>
      <c r="F85">
        <f t="shared" si="3"/>
        <v>0.5</v>
      </c>
      <c r="G85">
        <v>9</v>
      </c>
      <c r="H85">
        <f t="shared" si="4"/>
        <v>0.8</v>
      </c>
      <c r="I85" s="12">
        <f t="shared" si="5"/>
        <v>0.65</v>
      </c>
    </row>
    <row r="86" spans="1:9" x14ac:dyDescent="0.3">
      <c r="D86">
        <v>8</v>
      </c>
      <c r="E86">
        <v>7.166666666666667</v>
      </c>
      <c r="F86">
        <f t="shared" si="3"/>
        <v>0.70454545454545447</v>
      </c>
      <c r="G86">
        <v>9</v>
      </c>
      <c r="H86">
        <f t="shared" si="4"/>
        <v>0.8</v>
      </c>
      <c r="I86" s="12">
        <f t="shared" si="5"/>
        <v>0.7522727272727272</v>
      </c>
    </row>
    <row r="87" spans="1:9" x14ac:dyDescent="0.3">
      <c r="D87">
        <v>9</v>
      </c>
      <c r="E87">
        <v>8</v>
      </c>
      <c r="F87">
        <f t="shared" si="3"/>
        <v>0.81818181818181812</v>
      </c>
      <c r="G87">
        <v>8</v>
      </c>
      <c r="H87">
        <f t="shared" si="4"/>
        <v>0.6</v>
      </c>
      <c r="I87" s="12">
        <f t="shared" si="5"/>
        <v>0.70909090909090899</v>
      </c>
    </row>
    <row r="88" spans="1:9" x14ac:dyDescent="0.3">
      <c r="D88">
        <v>10</v>
      </c>
      <c r="E88">
        <v>5.666666666666667</v>
      </c>
      <c r="F88">
        <f t="shared" si="3"/>
        <v>0.5</v>
      </c>
      <c r="G88">
        <v>7</v>
      </c>
      <c r="H88">
        <f t="shared" si="4"/>
        <v>0.4</v>
      </c>
      <c r="I88" s="12">
        <f t="shared" si="5"/>
        <v>0.45</v>
      </c>
    </row>
    <row r="89" spans="1:9" x14ac:dyDescent="0.3">
      <c r="D89">
        <v>11</v>
      </c>
      <c r="E89">
        <v>6.666666666666667</v>
      </c>
      <c r="F89">
        <f t="shared" si="3"/>
        <v>0.63636363636363635</v>
      </c>
      <c r="G89">
        <v>8</v>
      </c>
      <c r="H89">
        <f t="shared" si="4"/>
        <v>0.6</v>
      </c>
      <c r="I89" s="12">
        <f t="shared" si="5"/>
        <v>0.61818181818181817</v>
      </c>
    </row>
    <row r="90" spans="1:9" x14ac:dyDescent="0.3">
      <c r="D90">
        <v>12</v>
      </c>
      <c r="E90">
        <v>3.6666666666666665</v>
      </c>
      <c r="F90">
        <f t="shared" si="3"/>
        <v>0.22727272727272724</v>
      </c>
      <c r="G90">
        <v>10</v>
      </c>
      <c r="H90">
        <f t="shared" si="4"/>
        <v>1</v>
      </c>
      <c r="I90" s="12">
        <f t="shared" si="5"/>
        <v>0.61363636363636365</v>
      </c>
    </row>
    <row r="91" spans="1:9" x14ac:dyDescent="0.3">
      <c r="D91">
        <v>13</v>
      </c>
      <c r="E91">
        <v>8.8333333333333339</v>
      </c>
      <c r="F91">
        <f t="shared" si="3"/>
        <v>0.93181818181818188</v>
      </c>
      <c r="G91">
        <v>8</v>
      </c>
      <c r="H91">
        <f t="shared" si="4"/>
        <v>0.6</v>
      </c>
      <c r="I91" s="12">
        <f t="shared" si="5"/>
        <v>0.76590909090909087</v>
      </c>
    </row>
    <row r="92" spans="1:9" x14ac:dyDescent="0.3">
      <c r="D92">
        <v>14</v>
      </c>
      <c r="E92">
        <v>7</v>
      </c>
      <c r="F92">
        <f t="shared" si="3"/>
        <v>0.68181818181818177</v>
      </c>
      <c r="G92">
        <v>8</v>
      </c>
      <c r="H92">
        <f t="shared" si="4"/>
        <v>0.6</v>
      </c>
      <c r="I92" s="12">
        <f t="shared" si="5"/>
        <v>0.64090909090909087</v>
      </c>
    </row>
    <row r="93" spans="1:9" x14ac:dyDescent="0.3">
      <c r="D93">
        <v>15</v>
      </c>
      <c r="E93">
        <v>7.333333333333333</v>
      </c>
      <c r="F93">
        <f t="shared" si="3"/>
        <v>0.72727272727272718</v>
      </c>
      <c r="G93">
        <v>8</v>
      </c>
      <c r="H93">
        <f t="shared" si="4"/>
        <v>0.6</v>
      </c>
      <c r="I93" s="12">
        <f t="shared" si="5"/>
        <v>0.66363636363636358</v>
      </c>
    </row>
    <row r="94" spans="1:9" x14ac:dyDescent="0.3">
      <c r="A94" s="4" t="s">
        <v>0</v>
      </c>
      <c r="B94" s="4">
        <v>10</v>
      </c>
      <c r="D94">
        <v>1</v>
      </c>
      <c r="E94">
        <v>3.1666666666666665</v>
      </c>
      <c r="F94">
        <f t="shared" si="3"/>
        <v>0.15909090909090906</v>
      </c>
      <c r="G94">
        <v>8</v>
      </c>
      <c r="H94">
        <f t="shared" si="4"/>
        <v>0.6</v>
      </c>
      <c r="I94" s="12">
        <f t="shared" si="5"/>
        <v>0.37954545454545452</v>
      </c>
    </row>
    <row r="95" spans="1:9" x14ac:dyDescent="0.3">
      <c r="A95" s="8" t="s">
        <v>3</v>
      </c>
      <c r="B95" s="8">
        <v>7</v>
      </c>
      <c r="D95">
        <v>2</v>
      </c>
      <c r="E95">
        <v>4.5</v>
      </c>
      <c r="F95">
        <f t="shared" si="3"/>
        <v>0.34090909090909088</v>
      </c>
      <c r="G95">
        <v>8</v>
      </c>
      <c r="H95">
        <f t="shared" si="4"/>
        <v>0.6</v>
      </c>
      <c r="I95" s="12">
        <f t="shared" si="5"/>
        <v>0.47045454545454546</v>
      </c>
    </row>
    <row r="96" spans="1:9" x14ac:dyDescent="0.3">
      <c r="A96" s="8" t="s">
        <v>4</v>
      </c>
      <c r="B96" s="8">
        <v>5</v>
      </c>
      <c r="D96">
        <v>3</v>
      </c>
      <c r="E96">
        <v>5.333333333333333</v>
      </c>
      <c r="F96">
        <f t="shared" si="3"/>
        <v>0.45454545454545447</v>
      </c>
      <c r="G96">
        <v>8</v>
      </c>
      <c r="H96">
        <f t="shared" si="4"/>
        <v>0.6</v>
      </c>
      <c r="I96" s="12">
        <f t="shared" si="5"/>
        <v>0.52727272727272723</v>
      </c>
    </row>
    <row r="97" spans="1:9" x14ac:dyDescent="0.3">
      <c r="A97" s="8" t="s">
        <v>5</v>
      </c>
      <c r="B97" s="8" t="s">
        <v>7</v>
      </c>
      <c r="D97">
        <v>4</v>
      </c>
      <c r="E97">
        <v>2</v>
      </c>
      <c r="F97">
        <f t="shared" si="3"/>
        <v>0</v>
      </c>
      <c r="G97">
        <v>9</v>
      </c>
      <c r="H97">
        <f t="shared" si="4"/>
        <v>0.8</v>
      </c>
      <c r="I97" s="12">
        <f t="shared" si="5"/>
        <v>0.4</v>
      </c>
    </row>
    <row r="98" spans="1:9" x14ac:dyDescent="0.3">
      <c r="D98">
        <v>5</v>
      </c>
      <c r="E98">
        <v>5.166666666666667</v>
      </c>
      <c r="F98">
        <f t="shared" si="3"/>
        <v>0.43181818181818182</v>
      </c>
      <c r="G98">
        <v>6</v>
      </c>
      <c r="H98">
        <f t="shared" si="4"/>
        <v>0.2</v>
      </c>
      <c r="I98" s="12">
        <f t="shared" si="5"/>
        <v>0.31590909090909092</v>
      </c>
    </row>
    <row r="99" spans="1:9" x14ac:dyDescent="0.3">
      <c r="A99" s="4" t="s">
        <v>0</v>
      </c>
      <c r="B99" s="4">
        <v>11</v>
      </c>
      <c r="D99">
        <v>1</v>
      </c>
      <c r="E99">
        <v>5</v>
      </c>
      <c r="F99">
        <f t="shared" si="3"/>
        <v>0.40909090909090906</v>
      </c>
      <c r="G99">
        <v>9</v>
      </c>
      <c r="H99">
        <f t="shared" si="4"/>
        <v>0.8</v>
      </c>
      <c r="I99" s="12">
        <f t="shared" si="5"/>
        <v>0.6045454545454545</v>
      </c>
    </row>
    <row r="100" spans="1:9" x14ac:dyDescent="0.3">
      <c r="A100" s="8" t="s">
        <v>3</v>
      </c>
      <c r="B100" s="8">
        <v>7</v>
      </c>
      <c r="D100">
        <v>2</v>
      </c>
      <c r="E100">
        <v>6.333333333333333</v>
      </c>
      <c r="F100">
        <f t="shared" si="3"/>
        <v>0.59090909090909083</v>
      </c>
      <c r="G100">
        <v>8</v>
      </c>
      <c r="H100">
        <f t="shared" si="4"/>
        <v>0.6</v>
      </c>
      <c r="I100" s="12">
        <f t="shared" si="5"/>
        <v>0.59545454545454546</v>
      </c>
    </row>
    <row r="101" spans="1:9" x14ac:dyDescent="0.3">
      <c r="A101" s="8" t="s">
        <v>4</v>
      </c>
      <c r="B101" s="8">
        <v>10</v>
      </c>
      <c r="D101">
        <v>3</v>
      </c>
      <c r="E101">
        <v>5.5</v>
      </c>
      <c r="F101">
        <f t="shared" si="3"/>
        <v>0.47727272727272724</v>
      </c>
      <c r="G101">
        <v>8</v>
      </c>
      <c r="H101">
        <f t="shared" si="4"/>
        <v>0.6</v>
      </c>
      <c r="I101" s="12">
        <f t="shared" si="5"/>
        <v>0.53863636363636358</v>
      </c>
    </row>
    <row r="102" spans="1:9" x14ac:dyDescent="0.3">
      <c r="A102" s="8" t="s">
        <v>5</v>
      </c>
      <c r="B102" s="8" t="s">
        <v>7</v>
      </c>
      <c r="D102">
        <v>4</v>
      </c>
      <c r="E102">
        <v>3</v>
      </c>
      <c r="F102">
        <f t="shared" si="3"/>
        <v>0.13636363636363635</v>
      </c>
      <c r="G102">
        <v>7</v>
      </c>
      <c r="H102">
        <f t="shared" si="4"/>
        <v>0.4</v>
      </c>
      <c r="I102" s="12">
        <f t="shared" si="5"/>
        <v>0.26818181818181819</v>
      </c>
    </row>
    <row r="103" spans="1:9" x14ac:dyDescent="0.3">
      <c r="D103">
        <v>5</v>
      </c>
      <c r="E103">
        <v>6.333333333333333</v>
      </c>
      <c r="F103">
        <f t="shared" si="3"/>
        <v>0.59090909090909083</v>
      </c>
      <c r="G103">
        <v>8</v>
      </c>
      <c r="H103">
        <f t="shared" si="4"/>
        <v>0.6</v>
      </c>
      <c r="I103" s="12">
        <f t="shared" si="5"/>
        <v>0.59545454545454546</v>
      </c>
    </row>
    <row r="104" spans="1:9" x14ac:dyDescent="0.3">
      <c r="D104">
        <v>6</v>
      </c>
      <c r="E104">
        <v>4.5</v>
      </c>
      <c r="F104">
        <f t="shared" si="3"/>
        <v>0.34090909090909088</v>
      </c>
      <c r="G104">
        <v>9</v>
      </c>
      <c r="H104">
        <f t="shared" si="4"/>
        <v>0.8</v>
      </c>
      <c r="I104" s="12">
        <f t="shared" si="5"/>
        <v>0.57045454545454544</v>
      </c>
    </row>
    <row r="105" spans="1:9" x14ac:dyDescent="0.3">
      <c r="D105">
        <v>7</v>
      </c>
      <c r="E105">
        <v>6.666666666666667</v>
      </c>
      <c r="F105">
        <f t="shared" si="3"/>
        <v>0.63636363636363635</v>
      </c>
      <c r="G105">
        <v>8</v>
      </c>
      <c r="H105">
        <f t="shared" si="4"/>
        <v>0.6</v>
      </c>
      <c r="I105" s="12">
        <f t="shared" si="5"/>
        <v>0.61818181818181817</v>
      </c>
    </row>
    <row r="106" spans="1:9" x14ac:dyDescent="0.3">
      <c r="D106">
        <v>8</v>
      </c>
      <c r="E106">
        <v>6.333333333333333</v>
      </c>
      <c r="F106">
        <f t="shared" si="3"/>
        <v>0.59090909090909083</v>
      </c>
      <c r="G106">
        <v>9</v>
      </c>
      <c r="H106">
        <f t="shared" si="4"/>
        <v>0.8</v>
      </c>
      <c r="I106" s="12">
        <f t="shared" si="5"/>
        <v>0.69545454545454544</v>
      </c>
    </row>
    <row r="107" spans="1:9" x14ac:dyDescent="0.3">
      <c r="D107">
        <v>9</v>
      </c>
      <c r="E107">
        <v>5</v>
      </c>
      <c r="F107">
        <f t="shared" si="3"/>
        <v>0.40909090909090906</v>
      </c>
      <c r="G107">
        <v>9</v>
      </c>
      <c r="H107">
        <f t="shared" si="4"/>
        <v>0.8</v>
      </c>
      <c r="I107" s="12">
        <f t="shared" si="5"/>
        <v>0.6045454545454545</v>
      </c>
    </row>
    <row r="108" spans="1:9" x14ac:dyDescent="0.3">
      <c r="D108">
        <v>10</v>
      </c>
      <c r="E108">
        <v>5.833333333333333</v>
      </c>
      <c r="F108">
        <f t="shared" si="3"/>
        <v>0.5227272727272726</v>
      </c>
      <c r="G108">
        <v>7</v>
      </c>
      <c r="H108">
        <f t="shared" si="4"/>
        <v>0.4</v>
      </c>
      <c r="I108" s="12">
        <f t="shared" si="5"/>
        <v>0.46136363636363631</v>
      </c>
    </row>
    <row r="109" spans="1:9" x14ac:dyDescent="0.3">
      <c r="A109" s="4" t="s">
        <v>0</v>
      </c>
      <c r="B109" s="4">
        <v>12</v>
      </c>
      <c r="D109">
        <v>1</v>
      </c>
      <c r="E109">
        <v>5.333333333333333</v>
      </c>
      <c r="F109">
        <f t="shared" si="3"/>
        <v>0.45454545454545447</v>
      </c>
      <c r="G109">
        <v>8</v>
      </c>
      <c r="H109">
        <f t="shared" si="4"/>
        <v>0.6</v>
      </c>
      <c r="I109" s="12">
        <f t="shared" si="5"/>
        <v>0.52727272727272723</v>
      </c>
    </row>
    <row r="110" spans="1:9" x14ac:dyDescent="0.3">
      <c r="A110" s="8" t="s">
        <v>3</v>
      </c>
      <c r="B110" s="8">
        <v>7</v>
      </c>
      <c r="D110">
        <v>2</v>
      </c>
      <c r="E110">
        <v>5.333333333333333</v>
      </c>
      <c r="F110">
        <f t="shared" si="3"/>
        <v>0.45454545454545447</v>
      </c>
      <c r="G110">
        <v>8</v>
      </c>
      <c r="H110">
        <f t="shared" si="4"/>
        <v>0.6</v>
      </c>
      <c r="I110" s="12">
        <f t="shared" si="5"/>
        <v>0.52727272727272723</v>
      </c>
    </row>
    <row r="111" spans="1:9" x14ac:dyDescent="0.3">
      <c r="A111" s="8" t="s">
        <v>4</v>
      </c>
      <c r="B111" s="8">
        <v>15</v>
      </c>
      <c r="D111">
        <v>3</v>
      </c>
      <c r="E111">
        <v>6.166666666666667</v>
      </c>
      <c r="F111">
        <f t="shared" si="3"/>
        <v>0.56818181818181812</v>
      </c>
      <c r="G111">
        <v>9</v>
      </c>
      <c r="H111">
        <f t="shared" si="4"/>
        <v>0.8</v>
      </c>
      <c r="I111" s="12">
        <f t="shared" si="5"/>
        <v>0.68409090909090908</v>
      </c>
    </row>
    <row r="112" spans="1:9" x14ac:dyDescent="0.3">
      <c r="A112" s="8" t="s">
        <v>5</v>
      </c>
      <c r="B112" s="8" t="s">
        <v>7</v>
      </c>
      <c r="D112">
        <v>4</v>
      </c>
      <c r="E112">
        <v>8.5</v>
      </c>
      <c r="F112">
        <f t="shared" si="3"/>
        <v>0.88636363636363624</v>
      </c>
      <c r="G112">
        <v>9</v>
      </c>
      <c r="H112">
        <f t="shared" si="4"/>
        <v>0.8</v>
      </c>
      <c r="I112" s="12">
        <f t="shared" si="5"/>
        <v>0.84318181818181814</v>
      </c>
    </row>
    <row r="113" spans="1:9" x14ac:dyDescent="0.3">
      <c r="D113">
        <v>5</v>
      </c>
      <c r="E113">
        <v>8.8333333333333339</v>
      </c>
      <c r="F113">
        <f t="shared" si="3"/>
        <v>0.93181818181818188</v>
      </c>
      <c r="G113">
        <v>9</v>
      </c>
      <c r="H113">
        <f t="shared" si="4"/>
        <v>0.8</v>
      </c>
      <c r="I113" s="12">
        <f t="shared" si="5"/>
        <v>0.86590909090909096</v>
      </c>
    </row>
    <row r="114" spans="1:9" x14ac:dyDescent="0.3">
      <c r="D114">
        <v>6</v>
      </c>
      <c r="E114">
        <v>8.8333333333333339</v>
      </c>
      <c r="F114">
        <f t="shared" si="3"/>
        <v>0.93181818181818188</v>
      </c>
      <c r="G114">
        <v>9</v>
      </c>
      <c r="H114">
        <f t="shared" si="4"/>
        <v>0.8</v>
      </c>
      <c r="I114" s="12">
        <f t="shared" si="5"/>
        <v>0.86590909090909096</v>
      </c>
    </row>
    <row r="115" spans="1:9" x14ac:dyDescent="0.3">
      <c r="D115">
        <v>7</v>
      </c>
      <c r="E115">
        <v>6</v>
      </c>
      <c r="F115">
        <f t="shared" si="3"/>
        <v>0.54545454545454541</v>
      </c>
      <c r="G115">
        <v>9</v>
      </c>
      <c r="H115">
        <f t="shared" si="4"/>
        <v>0.8</v>
      </c>
      <c r="I115" s="12">
        <f t="shared" si="5"/>
        <v>0.67272727272727273</v>
      </c>
    </row>
    <row r="116" spans="1:9" x14ac:dyDescent="0.3">
      <c r="D116">
        <v>8</v>
      </c>
      <c r="E116">
        <v>8.1666666666666661</v>
      </c>
      <c r="F116">
        <f t="shared" si="3"/>
        <v>0.84090909090909072</v>
      </c>
      <c r="G116">
        <v>9</v>
      </c>
      <c r="H116">
        <f t="shared" si="4"/>
        <v>0.8</v>
      </c>
      <c r="I116" s="12">
        <f t="shared" si="5"/>
        <v>0.82045454545454533</v>
      </c>
    </row>
    <row r="117" spans="1:9" x14ac:dyDescent="0.3">
      <c r="D117">
        <v>9</v>
      </c>
      <c r="E117">
        <v>7.333333333333333</v>
      </c>
      <c r="F117">
        <f t="shared" si="3"/>
        <v>0.72727272727272718</v>
      </c>
      <c r="G117">
        <v>9</v>
      </c>
      <c r="H117">
        <f t="shared" si="4"/>
        <v>0.8</v>
      </c>
      <c r="I117" s="12">
        <f t="shared" si="5"/>
        <v>0.76363636363636367</v>
      </c>
    </row>
    <row r="118" spans="1:9" x14ac:dyDescent="0.3">
      <c r="D118">
        <v>10</v>
      </c>
      <c r="E118">
        <v>7.333333333333333</v>
      </c>
      <c r="F118">
        <f t="shared" si="3"/>
        <v>0.72727272727272718</v>
      </c>
      <c r="G118">
        <v>8</v>
      </c>
      <c r="H118">
        <f t="shared" si="4"/>
        <v>0.6</v>
      </c>
      <c r="I118" s="12">
        <f t="shared" si="5"/>
        <v>0.66363636363636358</v>
      </c>
    </row>
    <row r="119" spans="1:9" x14ac:dyDescent="0.3">
      <c r="D119">
        <v>11</v>
      </c>
      <c r="E119">
        <v>8.3333333333333339</v>
      </c>
      <c r="F119">
        <f t="shared" si="3"/>
        <v>0.86363636363636365</v>
      </c>
      <c r="G119">
        <v>9</v>
      </c>
      <c r="H119">
        <f t="shared" si="4"/>
        <v>0.8</v>
      </c>
      <c r="I119" s="12">
        <f t="shared" si="5"/>
        <v>0.83181818181818179</v>
      </c>
    </row>
    <row r="120" spans="1:9" x14ac:dyDescent="0.3">
      <c r="D120">
        <v>12</v>
      </c>
      <c r="E120">
        <v>6.333333333333333</v>
      </c>
      <c r="F120">
        <f t="shared" si="3"/>
        <v>0.59090909090909083</v>
      </c>
      <c r="G120">
        <v>9</v>
      </c>
      <c r="H120">
        <f t="shared" si="4"/>
        <v>0.8</v>
      </c>
      <c r="I120" s="12">
        <f t="shared" si="5"/>
        <v>0.69545454545454544</v>
      </c>
    </row>
    <row r="121" spans="1:9" x14ac:dyDescent="0.3">
      <c r="D121">
        <v>13</v>
      </c>
      <c r="E121">
        <v>6.666666666666667</v>
      </c>
      <c r="F121">
        <f t="shared" si="3"/>
        <v>0.63636363636363635</v>
      </c>
      <c r="G121">
        <v>9</v>
      </c>
      <c r="H121">
        <f t="shared" si="4"/>
        <v>0.8</v>
      </c>
      <c r="I121" s="12">
        <f t="shared" si="5"/>
        <v>0.71818181818181825</v>
      </c>
    </row>
    <row r="122" spans="1:9" x14ac:dyDescent="0.3">
      <c r="D122">
        <v>14</v>
      </c>
      <c r="E122">
        <v>7.666666666666667</v>
      </c>
      <c r="F122">
        <f t="shared" si="3"/>
        <v>0.77272727272727271</v>
      </c>
      <c r="G122">
        <v>8</v>
      </c>
      <c r="H122">
        <f t="shared" si="4"/>
        <v>0.6</v>
      </c>
      <c r="I122" s="12">
        <f t="shared" si="5"/>
        <v>0.68636363636363629</v>
      </c>
    </row>
    <row r="123" spans="1:9" x14ac:dyDescent="0.3">
      <c r="D123">
        <v>15</v>
      </c>
      <c r="E123">
        <v>9.1666666666666661</v>
      </c>
      <c r="F123">
        <f t="shared" si="3"/>
        <v>0.97727272727272707</v>
      </c>
      <c r="G123">
        <v>7</v>
      </c>
      <c r="H123">
        <f t="shared" si="4"/>
        <v>0.4</v>
      </c>
      <c r="I123" s="12">
        <f t="shared" si="5"/>
        <v>0.68863636363636349</v>
      </c>
    </row>
    <row r="124" spans="1:9" x14ac:dyDescent="0.3">
      <c r="A124" s="4" t="s">
        <v>0</v>
      </c>
      <c r="B124" s="4">
        <v>13</v>
      </c>
      <c r="D124">
        <v>1</v>
      </c>
      <c r="E124">
        <v>3.5</v>
      </c>
      <c r="F124">
        <f t="shared" si="3"/>
        <v>0.20454545454545453</v>
      </c>
      <c r="G124">
        <v>7</v>
      </c>
      <c r="H124">
        <f t="shared" si="4"/>
        <v>0.4</v>
      </c>
      <c r="I124" s="12">
        <f t="shared" si="5"/>
        <v>0.30227272727272725</v>
      </c>
    </row>
    <row r="125" spans="1:9" x14ac:dyDescent="0.3">
      <c r="A125" s="8" t="s">
        <v>3</v>
      </c>
      <c r="B125" s="8">
        <v>10</v>
      </c>
      <c r="D125">
        <v>2</v>
      </c>
      <c r="E125">
        <v>4.666666666666667</v>
      </c>
      <c r="F125">
        <f t="shared" si="3"/>
        <v>0.36363636363636365</v>
      </c>
      <c r="G125">
        <v>8</v>
      </c>
      <c r="H125">
        <f t="shared" si="4"/>
        <v>0.6</v>
      </c>
      <c r="I125" s="12">
        <f t="shared" si="5"/>
        <v>0.48181818181818181</v>
      </c>
    </row>
    <row r="126" spans="1:9" x14ac:dyDescent="0.3">
      <c r="A126" s="8" t="s">
        <v>4</v>
      </c>
      <c r="B126" s="8">
        <v>5</v>
      </c>
      <c r="D126">
        <v>3</v>
      </c>
      <c r="E126">
        <v>4.166666666666667</v>
      </c>
      <c r="F126">
        <f t="shared" si="3"/>
        <v>0.29545454545454547</v>
      </c>
      <c r="G126">
        <v>8</v>
      </c>
      <c r="H126">
        <f t="shared" si="4"/>
        <v>0.6</v>
      </c>
      <c r="I126" s="12">
        <f t="shared" si="5"/>
        <v>0.44772727272727275</v>
      </c>
    </row>
    <row r="127" spans="1:9" x14ac:dyDescent="0.3">
      <c r="A127" s="8" t="s">
        <v>5</v>
      </c>
      <c r="B127" s="8" t="s">
        <v>6</v>
      </c>
      <c r="D127">
        <v>4</v>
      </c>
      <c r="E127">
        <v>4.333333333333333</v>
      </c>
      <c r="F127">
        <f t="shared" si="3"/>
        <v>0.31818181818181812</v>
      </c>
      <c r="G127">
        <v>9</v>
      </c>
      <c r="H127">
        <f t="shared" si="4"/>
        <v>0.8</v>
      </c>
      <c r="I127" s="12">
        <f t="shared" si="5"/>
        <v>0.55909090909090908</v>
      </c>
    </row>
    <row r="128" spans="1:9" x14ac:dyDescent="0.3">
      <c r="D128">
        <v>5</v>
      </c>
      <c r="E128">
        <v>4.333333333333333</v>
      </c>
      <c r="F128">
        <f t="shared" si="3"/>
        <v>0.31818181818181812</v>
      </c>
      <c r="G128">
        <v>8</v>
      </c>
      <c r="H128">
        <f t="shared" si="4"/>
        <v>0.6</v>
      </c>
      <c r="I128" s="12">
        <f t="shared" si="5"/>
        <v>0.45909090909090905</v>
      </c>
    </row>
    <row r="129" spans="1:9" x14ac:dyDescent="0.3">
      <c r="A129" s="4" t="s">
        <v>0</v>
      </c>
      <c r="B129" s="4">
        <v>14</v>
      </c>
      <c r="D129">
        <v>1</v>
      </c>
      <c r="E129">
        <v>7.666666666666667</v>
      </c>
      <c r="F129">
        <f t="shared" si="3"/>
        <v>0.77272727272727271</v>
      </c>
      <c r="G129">
        <v>9</v>
      </c>
      <c r="H129">
        <f t="shared" si="4"/>
        <v>0.8</v>
      </c>
      <c r="I129" s="12">
        <f t="shared" si="5"/>
        <v>0.78636363636363638</v>
      </c>
    </row>
    <row r="130" spans="1:9" x14ac:dyDescent="0.3">
      <c r="A130" s="8" t="s">
        <v>3</v>
      </c>
      <c r="B130" s="8">
        <v>10</v>
      </c>
      <c r="D130">
        <v>2</v>
      </c>
      <c r="E130">
        <v>6.666666666666667</v>
      </c>
      <c r="F130">
        <f t="shared" si="3"/>
        <v>0.63636363636363635</v>
      </c>
      <c r="G130">
        <v>9</v>
      </c>
      <c r="H130">
        <f t="shared" si="4"/>
        <v>0.8</v>
      </c>
      <c r="I130" s="12">
        <f t="shared" si="5"/>
        <v>0.71818181818181825</v>
      </c>
    </row>
    <row r="131" spans="1:9" x14ac:dyDescent="0.3">
      <c r="A131" s="8" t="s">
        <v>4</v>
      </c>
      <c r="B131" s="8">
        <v>10</v>
      </c>
      <c r="D131">
        <v>3</v>
      </c>
      <c r="E131">
        <v>5.333333333333333</v>
      </c>
      <c r="F131">
        <f t="shared" si="3"/>
        <v>0.45454545454545447</v>
      </c>
      <c r="G131">
        <v>8</v>
      </c>
      <c r="H131">
        <f t="shared" si="4"/>
        <v>0.6</v>
      </c>
      <c r="I131" s="12">
        <f t="shared" si="5"/>
        <v>0.52727272727272723</v>
      </c>
    </row>
    <row r="132" spans="1:9" x14ac:dyDescent="0.3">
      <c r="A132" s="8" t="s">
        <v>5</v>
      </c>
      <c r="B132" s="8" t="s">
        <v>6</v>
      </c>
      <c r="D132">
        <v>4</v>
      </c>
      <c r="E132">
        <v>5.166666666666667</v>
      </c>
      <c r="F132">
        <f t="shared" si="3"/>
        <v>0.43181818181818182</v>
      </c>
      <c r="G132">
        <v>8</v>
      </c>
      <c r="H132">
        <f t="shared" si="4"/>
        <v>0.6</v>
      </c>
      <c r="I132" s="12">
        <f t="shared" si="5"/>
        <v>0.51590909090909087</v>
      </c>
    </row>
    <row r="133" spans="1:9" x14ac:dyDescent="0.3">
      <c r="D133">
        <v>5</v>
      </c>
      <c r="E133">
        <v>8.3333333333333339</v>
      </c>
      <c r="F133">
        <f t="shared" ref="F133:F183" si="6">(E133 - MIN($E$4:$E$183)) / (MAX($E$4:$E$183) - MIN($E$4:$E$183))</f>
        <v>0.86363636363636365</v>
      </c>
      <c r="G133">
        <v>9</v>
      </c>
      <c r="H133">
        <f t="shared" ref="H133:H183" si="7">(G133 - MIN($G$4:$G$183)) / (MAX($G$4:$G$183) - MIN($G$4:$G$183))</f>
        <v>0.8</v>
      </c>
      <c r="I133" s="12">
        <f t="shared" ref="I133:I183" si="8">1/2*(F133+H133)</f>
        <v>0.83181818181818179</v>
      </c>
    </row>
    <row r="134" spans="1:9" x14ac:dyDescent="0.3">
      <c r="D134">
        <v>6</v>
      </c>
      <c r="E134">
        <v>5.833333333333333</v>
      </c>
      <c r="F134">
        <f t="shared" si="6"/>
        <v>0.5227272727272726</v>
      </c>
      <c r="G134">
        <v>8</v>
      </c>
      <c r="H134">
        <f t="shared" si="7"/>
        <v>0.6</v>
      </c>
      <c r="I134" s="12">
        <f t="shared" si="8"/>
        <v>0.56136363636363629</v>
      </c>
    </row>
    <row r="135" spans="1:9" x14ac:dyDescent="0.3">
      <c r="D135">
        <v>7</v>
      </c>
      <c r="E135">
        <v>7.833333333333333</v>
      </c>
      <c r="F135">
        <f t="shared" si="6"/>
        <v>0.7954545454545453</v>
      </c>
      <c r="G135">
        <v>8</v>
      </c>
      <c r="H135">
        <f t="shared" si="7"/>
        <v>0.6</v>
      </c>
      <c r="I135" s="12">
        <f t="shared" si="8"/>
        <v>0.69772727272727264</v>
      </c>
    </row>
    <row r="136" spans="1:9" x14ac:dyDescent="0.3">
      <c r="D136">
        <v>8</v>
      </c>
      <c r="E136">
        <v>5.333333333333333</v>
      </c>
      <c r="F136">
        <f t="shared" si="6"/>
        <v>0.45454545454545447</v>
      </c>
      <c r="G136">
        <v>9</v>
      </c>
      <c r="H136">
        <f t="shared" si="7"/>
        <v>0.8</v>
      </c>
      <c r="I136" s="12">
        <f t="shared" si="8"/>
        <v>0.6272727272727272</v>
      </c>
    </row>
    <row r="137" spans="1:9" x14ac:dyDescent="0.3">
      <c r="D137">
        <v>9</v>
      </c>
      <c r="E137">
        <v>6.166666666666667</v>
      </c>
      <c r="F137">
        <f t="shared" si="6"/>
        <v>0.56818181818181812</v>
      </c>
      <c r="G137">
        <v>9</v>
      </c>
      <c r="H137">
        <f t="shared" si="7"/>
        <v>0.8</v>
      </c>
      <c r="I137" s="12">
        <f t="shared" si="8"/>
        <v>0.68409090909090908</v>
      </c>
    </row>
    <row r="138" spans="1:9" x14ac:dyDescent="0.3">
      <c r="D138">
        <v>10</v>
      </c>
      <c r="E138">
        <v>5.833333333333333</v>
      </c>
      <c r="F138">
        <f t="shared" si="6"/>
        <v>0.5227272727272726</v>
      </c>
      <c r="G138">
        <v>6</v>
      </c>
      <c r="H138">
        <f t="shared" si="7"/>
        <v>0.2</v>
      </c>
      <c r="I138" s="12">
        <f t="shared" si="8"/>
        <v>0.36136363636363633</v>
      </c>
    </row>
    <row r="139" spans="1:9" x14ac:dyDescent="0.3">
      <c r="A139" s="4" t="s">
        <v>0</v>
      </c>
      <c r="B139" s="4">
        <v>15</v>
      </c>
      <c r="D139">
        <v>1</v>
      </c>
      <c r="E139">
        <v>8.6666666666666661</v>
      </c>
      <c r="F139">
        <f t="shared" si="6"/>
        <v>0.90909090909090895</v>
      </c>
      <c r="G139">
        <v>9</v>
      </c>
      <c r="H139">
        <f t="shared" si="7"/>
        <v>0.8</v>
      </c>
      <c r="I139" s="12">
        <f t="shared" si="8"/>
        <v>0.8545454545454545</v>
      </c>
    </row>
    <row r="140" spans="1:9" x14ac:dyDescent="0.3">
      <c r="A140" s="8" t="s">
        <v>3</v>
      </c>
      <c r="B140" s="8">
        <v>10</v>
      </c>
      <c r="D140">
        <v>2</v>
      </c>
      <c r="E140">
        <v>6.5</v>
      </c>
      <c r="F140">
        <f t="shared" si="6"/>
        <v>0.61363636363636354</v>
      </c>
      <c r="G140">
        <v>9</v>
      </c>
      <c r="H140">
        <f t="shared" si="7"/>
        <v>0.8</v>
      </c>
      <c r="I140" s="12">
        <f t="shared" si="8"/>
        <v>0.70681818181818179</v>
      </c>
    </row>
    <row r="141" spans="1:9" x14ac:dyDescent="0.3">
      <c r="A141" s="8" t="s">
        <v>4</v>
      </c>
      <c r="B141" s="8">
        <v>15</v>
      </c>
      <c r="D141">
        <v>3</v>
      </c>
      <c r="E141">
        <v>8.5</v>
      </c>
      <c r="F141">
        <f t="shared" si="6"/>
        <v>0.88636363636363624</v>
      </c>
      <c r="G141">
        <v>8</v>
      </c>
      <c r="H141">
        <f t="shared" si="7"/>
        <v>0.6</v>
      </c>
      <c r="I141" s="12">
        <f t="shared" si="8"/>
        <v>0.74318181818181817</v>
      </c>
    </row>
    <row r="142" spans="1:9" x14ac:dyDescent="0.3">
      <c r="A142" s="8" t="s">
        <v>5</v>
      </c>
      <c r="B142" s="8" t="s">
        <v>6</v>
      </c>
      <c r="D142">
        <v>4</v>
      </c>
      <c r="E142">
        <v>5.833333333333333</v>
      </c>
      <c r="F142">
        <f t="shared" si="6"/>
        <v>0.5227272727272726</v>
      </c>
      <c r="G142">
        <v>8</v>
      </c>
      <c r="H142">
        <f t="shared" si="7"/>
        <v>0.6</v>
      </c>
      <c r="I142" s="12">
        <f t="shared" si="8"/>
        <v>0.56136363636363629</v>
      </c>
    </row>
    <row r="143" spans="1:9" x14ac:dyDescent="0.3">
      <c r="D143">
        <v>5</v>
      </c>
      <c r="E143">
        <v>7.666666666666667</v>
      </c>
      <c r="F143">
        <f t="shared" si="6"/>
        <v>0.77272727272727271</v>
      </c>
      <c r="G143">
        <v>8</v>
      </c>
      <c r="H143">
        <f t="shared" si="7"/>
        <v>0.6</v>
      </c>
      <c r="I143" s="12">
        <f t="shared" si="8"/>
        <v>0.68636363636363629</v>
      </c>
    </row>
    <row r="144" spans="1:9" x14ac:dyDescent="0.3">
      <c r="D144">
        <v>6</v>
      </c>
      <c r="E144">
        <v>4.833333333333333</v>
      </c>
      <c r="F144">
        <f t="shared" si="6"/>
        <v>0.3863636363636363</v>
      </c>
      <c r="G144">
        <v>8</v>
      </c>
      <c r="H144">
        <f t="shared" si="7"/>
        <v>0.6</v>
      </c>
      <c r="I144" s="12">
        <f t="shared" si="8"/>
        <v>0.49318181818181817</v>
      </c>
    </row>
    <row r="145" spans="1:9" x14ac:dyDescent="0.3">
      <c r="D145">
        <v>7</v>
      </c>
      <c r="E145">
        <v>7.333333333333333</v>
      </c>
      <c r="F145">
        <f t="shared" si="6"/>
        <v>0.72727272727272718</v>
      </c>
      <c r="G145">
        <v>9</v>
      </c>
      <c r="H145">
        <f t="shared" si="7"/>
        <v>0.8</v>
      </c>
      <c r="I145" s="12">
        <f t="shared" si="8"/>
        <v>0.76363636363636367</v>
      </c>
    </row>
    <row r="146" spans="1:9" x14ac:dyDescent="0.3">
      <c r="D146">
        <v>8</v>
      </c>
      <c r="E146">
        <v>6.5</v>
      </c>
      <c r="F146">
        <f t="shared" si="6"/>
        <v>0.61363636363636354</v>
      </c>
      <c r="G146">
        <v>8</v>
      </c>
      <c r="H146">
        <f t="shared" si="7"/>
        <v>0.6</v>
      </c>
      <c r="I146" s="12">
        <f t="shared" si="8"/>
        <v>0.6068181818181817</v>
      </c>
    </row>
    <row r="147" spans="1:9" x14ac:dyDescent="0.3">
      <c r="D147">
        <v>9</v>
      </c>
      <c r="E147">
        <v>5.5</v>
      </c>
      <c r="F147">
        <f t="shared" si="6"/>
        <v>0.47727272727272724</v>
      </c>
      <c r="G147">
        <v>8</v>
      </c>
      <c r="H147">
        <f t="shared" si="7"/>
        <v>0.6</v>
      </c>
      <c r="I147" s="12">
        <f t="shared" si="8"/>
        <v>0.53863636363636358</v>
      </c>
    </row>
    <row r="148" spans="1:9" x14ac:dyDescent="0.3">
      <c r="D148">
        <v>10</v>
      </c>
      <c r="E148">
        <v>4</v>
      </c>
      <c r="F148">
        <f t="shared" si="6"/>
        <v>0.27272727272727271</v>
      </c>
      <c r="G148">
        <v>10</v>
      </c>
      <c r="H148">
        <f t="shared" si="7"/>
        <v>1</v>
      </c>
      <c r="I148" s="12">
        <f t="shared" si="8"/>
        <v>0.63636363636363635</v>
      </c>
    </row>
    <row r="149" spans="1:9" x14ac:dyDescent="0.3">
      <c r="D149">
        <v>11</v>
      </c>
      <c r="E149">
        <v>6.5</v>
      </c>
      <c r="F149">
        <f t="shared" si="6"/>
        <v>0.61363636363636354</v>
      </c>
      <c r="G149">
        <v>8</v>
      </c>
      <c r="H149">
        <f t="shared" si="7"/>
        <v>0.6</v>
      </c>
      <c r="I149" s="12">
        <f t="shared" si="8"/>
        <v>0.6068181818181817</v>
      </c>
    </row>
    <row r="150" spans="1:9" x14ac:dyDescent="0.3">
      <c r="D150">
        <v>12</v>
      </c>
      <c r="E150">
        <v>6</v>
      </c>
      <c r="F150">
        <f t="shared" si="6"/>
        <v>0.54545454545454541</v>
      </c>
      <c r="G150">
        <v>8</v>
      </c>
      <c r="H150">
        <f t="shared" si="7"/>
        <v>0.6</v>
      </c>
      <c r="I150" s="12">
        <f t="shared" si="8"/>
        <v>0.57272727272727275</v>
      </c>
    </row>
    <row r="151" spans="1:9" x14ac:dyDescent="0.3">
      <c r="D151">
        <v>13</v>
      </c>
      <c r="E151">
        <v>4.833333333333333</v>
      </c>
      <c r="F151">
        <f t="shared" si="6"/>
        <v>0.3863636363636363</v>
      </c>
      <c r="G151">
        <v>7</v>
      </c>
      <c r="H151">
        <f t="shared" si="7"/>
        <v>0.4</v>
      </c>
      <c r="I151" s="12">
        <f t="shared" si="8"/>
        <v>0.39318181818181819</v>
      </c>
    </row>
    <row r="152" spans="1:9" x14ac:dyDescent="0.3">
      <c r="D152">
        <v>14</v>
      </c>
      <c r="E152">
        <v>5.833333333333333</v>
      </c>
      <c r="F152">
        <f t="shared" si="6"/>
        <v>0.5227272727272726</v>
      </c>
      <c r="G152">
        <v>7</v>
      </c>
      <c r="H152">
        <f t="shared" si="7"/>
        <v>0.4</v>
      </c>
      <c r="I152" s="12">
        <f t="shared" si="8"/>
        <v>0.46136363636363631</v>
      </c>
    </row>
    <row r="153" spans="1:9" x14ac:dyDescent="0.3">
      <c r="D153">
        <v>15</v>
      </c>
      <c r="E153">
        <v>7</v>
      </c>
      <c r="F153">
        <f t="shared" si="6"/>
        <v>0.68181818181818177</v>
      </c>
      <c r="G153">
        <v>7</v>
      </c>
      <c r="H153">
        <f t="shared" si="7"/>
        <v>0.4</v>
      </c>
      <c r="I153" s="12">
        <f t="shared" si="8"/>
        <v>0.54090909090909089</v>
      </c>
    </row>
    <row r="154" spans="1:9" x14ac:dyDescent="0.3">
      <c r="A154" s="4" t="s">
        <v>0</v>
      </c>
      <c r="B154" s="4">
        <v>16</v>
      </c>
      <c r="D154">
        <v>1</v>
      </c>
      <c r="E154">
        <v>2.6666666666666665</v>
      </c>
      <c r="F154">
        <f t="shared" si="6"/>
        <v>9.0909090909090884E-2</v>
      </c>
      <c r="G154">
        <v>8</v>
      </c>
      <c r="H154">
        <f t="shared" si="7"/>
        <v>0.6</v>
      </c>
      <c r="I154" s="12">
        <f t="shared" si="8"/>
        <v>0.34545454545454546</v>
      </c>
    </row>
    <row r="155" spans="1:9" x14ac:dyDescent="0.3">
      <c r="A155" s="8" t="s">
        <v>3</v>
      </c>
      <c r="B155" s="8">
        <v>10</v>
      </c>
      <c r="D155">
        <v>2</v>
      </c>
      <c r="E155">
        <v>2.8333333333333335</v>
      </c>
      <c r="F155">
        <f t="shared" si="6"/>
        <v>0.11363636363636365</v>
      </c>
      <c r="G155">
        <v>8</v>
      </c>
      <c r="H155">
        <f t="shared" si="7"/>
        <v>0.6</v>
      </c>
      <c r="I155" s="12">
        <f t="shared" si="8"/>
        <v>0.35681818181818181</v>
      </c>
    </row>
    <row r="156" spans="1:9" x14ac:dyDescent="0.3">
      <c r="A156" s="8" t="s">
        <v>4</v>
      </c>
      <c r="B156" s="8">
        <v>5</v>
      </c>
      <c r="D156">
        <v>3</v>
      </c>
      <c r="E156">
        <v>5.666666666666667</v>
      </c>
      <c r="F156">
        <f t="shared" si="6"/>
        <v>0.5</v>
      </c>
      <c r="G156">
        <v>8</v>
      </c>
      <c r="H156">
        <f t="shared" si="7"/>
        <v>0.6</v>
      </c>
      <c r="I156" s="12">
        <f t="shared" si="8"/>
        <v>0.55000000000000004</v>
      </c>
    </row>
    <row r="157" spans="1:9" x14ac:dyDescent="0.3">
      <c r="A157" s="8" t="s">
        <v>5</v>
      </c>
      <c r="B157" s="8" t="s">
        <v>7</v>
      </c>
      <c r="D157">
        <v>4</v>
      </c>
      <c r="E157">
        <v>4</v>
      </c>
      <c r="F157">
        <f t="shared" si="6"/>
        <v>0.27272727272727271</v>
      </c>
      <c r="G157">
        <v>10</v>
      </c>
      <c r="H157">
        <f t="shared" si="7"/>
        <v>1</v>
      </c>
      <c r="I157" s="12">
        <f t="shared" si="8"/>
        <v>0.63636363636363635</v>
      </c>
    </row>
    <row r="158" spans="1:9" x14ac:dyDescent="0.3">
      <c r="D158">
        <v>5</v>
      </c>
      <c r="E158">
        <v>5.666666666666667</v>
      </c>
      <c r="F158">
        <f t="shared" si="6"/>
        <v>0.5</v>
      </c>
      <c r="G158">
        <v>9</v>
      </c>
      <c r="H158">
        <f t="shared" si="7"/>
        <v>0.8</v>
      </c>
      <c r="I158" s="12">
        <f t="shared" si="8"/>
        <v>0.65</v>
      </c>
    </row>
    <row r="159" spans="1:9" x14ac:dyDescent="0.3">
      <c r="A159" s="4" t="s">
        <v>0</v>
      </c>
      <c r="B159" s="4">
        <v>17</v>
      </c>
      <c r="D159">
        <v>1</v>
      </c>
      <c r="E159">
        <v>4.166666666666667</v>
      </c>
      <c r="F159">
        <f t="shared" si="6"/>
        <v>0.29545454545454547</v>
      </c>
      <c r="G159">
        <v>8</v>
      </c>
      <c r="H159">
        <f t="shared" si="7"/>
        <v>0.6</v>
      </c>
      <c r="I159" s="12">
        <f t="shared" si="8"/>
        <v>0.44772727272727275</v>
      </c>
    </row>
    <row r="160" spans="1:9" x14ac:dyDescent="0.3">
      <c r="A160" s="8" t="s">
        <v>3</v>
      </c>
      <c r="B160" s="8">
        <v>10</v>
      </c>
      <c r="D160">
        <v>2</v>
      </c>
      <c r="E160">
        <v>4.333333333333333</v>
      </c>
      <c r="F160">
        <f t="shared" si="6"/>
        <v>0.31818181818181812</v>
      </c>
      <c r="G160">
        <v>8</v>
      </c>
      <c r="H160">
        <f t="shared" si="7"/>
        <v>0.6</v>
      </c>
      <c r="I160" s="12">
        <f t="shared" si="8"/>
        <v>0.45909090909090905</v>
      </c>
    </row>
    <row r="161" spans="1:9" x14ac:dyDescent="0.3">
      <c r="A161" s="8" t="s">
        <v>4</v>
      </c>
      <c r="B161" s="8">
        <v>10</v>
      </c>
      <c r="D161">
        <v>3</v>
      </c>
      <c r="E161">
        <v>4.5</v>
      </c>
      <c r="F161">
        <f t="shared" si="6"/>
        <v>0.34090909090909088</v>
      </c>
      <c r="G161">
        <v>7</v>
      </c>
      <c r="H161">
        <f t="shared" si="7"/>
        <v>0.4</v>
      </c>
      <c r="I161" s="12">
        <f t="shared" si="8"/>
        <v>0.37045454545454548</v>
      </c>
    </row>
    <row r="162" spans="1:9" x14ac:dyDescent="0.3">
      <c r="A162" s="8" t="s">
        <v>5</v>
      </c>
      <c r="B162" s="8" t="s">
        <v>7</v>
      </c>
      <c r="D162">
        <v>4</v>
      </c>
      <c r="E162">
        <v>8</v>
      </c>
      <c r="F162">
        <f t="shared" si="6"/>
        <v>0.81818181818181812</v>
      </c>
      <c r="G162">
        <v>9</v>
      </c>
      <c r="H162">
        <f t="shared" si="7"/>
        <v>0.8</v>
      </c>
      <c r="I162" s="12">
        <f t="shared" si="8"/>
        <v>0.80909090909090908</v>
      </c>
    </row>
    <row r="163" spans="1:9" x14ac:dyDescent="0.3">
      <c r="D163">
        <v>5</v>
      </c>
      <c r="E163">
        <v>5.333333333333333</v>
      </c>
      <c r="F163">
        <f t="shared" si="6"/>
        <v>0.45454545454545447</v>
      </c>
      <c r="G163">
        <v>8</v>
      </c>
      <c r="H163">
        <f t="shared" si="7"/>
        <v>0.6</v>
      </c>
      <c r="I163" s="12">
        <f t="shared" si="8"/>
        <v>0.52727272727272723</v>
      </c>
    </row>
    <row r="164" spans="1:9" x14ac:dyDescent="0.3">
      <c r="D164">
        <v>6</v>
      </c>
      <c r="E164">
        <v>3.8333333333333335</v>
      </c>
      <c r="F164">
        <f t="shared" si="6"/>
        <v>0.25</v>
      </c>
      <c r="G164">
        <v>10</v>
      </c>
      <c r="H164">
        <f t="shared" si="7"/>
        <v>1</v>
      </c>
      <c r="I164" s="12">
        <f t="shared" si="8"/>
        <v>0.625</v>
      </c>
    </row>
    <row r="165" spans="1:9" x14ac:dyDescent="0.3">
      <c r="D165">
        <v>7</v>
      </c>
      <c r="E165">
        <v>6.333333333333333</v>
      </c>
      <c r="F165">
        <f t="shared" si="6"/>
        <v>0.59090909090909083</v>
      </c>
      <c r="G165">
        <v>8</v>
      </c>
      <c r="H165">
        <f t="shared" si="7"/>
        <v>0.6</v>
      </c>
      <c r="I165" s="12">
        <f t="shared" si="8"/>
        <v>0.59545454545454546</v>
      </c>
    </row>
    <row r="166" spans="1:9" x14ac:dyDescent="0.3">
      <c r="D166">
        <v>8</v>
      </c>
      <c r="E166">
        <v>6.666666666666667</v>
      </c>
      <c r="F166">
        <f t="shared" si="6"/>
        <v>0.63636363636363635</v>
      </c>
      <c r="G166">
        <v>8</v>
      </c>
      <c r="H166">
        <f t="shared" si="7"/>
        <v>0.6</v>
      </c>
      <c r="I166" s="12">
        <f t="shared" si="8"/>
        <v>0.61818181818181817</v>
      </c>
    </row>
    <row r="167" spans="1:9" x14ac:dyDescent="0.3">
      <c r="D167">
        <v>9</v>
      </c>
      <c r="E167">
        <v>2.5</v>
      </c>
      <c r="F167">
        <f t="shared" si="6"/>
        <v>6.8181818181818177E-2</v>
      </c>
      <c r="G167">
        <v>9</v>
      </c>
      <c r="H167">
        <f t="shared" si="7"/>
        <v>0.8</v>
      </c>
      <c r="I167" s="12">
        <f t="shared" si="8"/>
        <v>0.43409090909090908</v>
      </c>
    </row>
    <row r="168" spans="1:9" x14ac:dyDescent="0.3">
      <c r="D168">
        <v>10</v>
      </c>
      <c r="E168">
        <v>5.666666666666667</v>
      </c>
      <c r="F168">
        <f t="shared" si="6"/>
        <v>0.5</v>
      </c>
      <c r="G168">
        <v>10</v>
      </c>
      <c r="H168">
        <f t="shared" si="7"/>
        <v>1</v>
      </c>
      <c r="I168" s="12">
        <f t="shared" si="8"/>
        <v>0.75</v>
      </c>
    </row>
    <row r="169" spans="1:9" x14ac:dyDescent="0.3">
      <c r="A169" s="4" t="s">
        <v>0</v>
      </c>
      <c r="B169" s="4">
        <v>18</v>
      </c>
      <c r="D169">
        <v>1</v>
      </c>
      <c r="E169">
        <v>8.8333333333333339</v>
      </c>
      <c r="F169">
        <f t="shared" si="6"/>
        <v>0.93181818181818188</v>
      </c>
      <c r="G169">
        <v>8</v>
      </c>
      <c r="H169">
        <f t="shared" si="7"/>
        <v>0.6</v>
      </c>
      <c r="I169" s="12">
        <f t="shared" si="8"/>
        <v>0.76590909090909087</v>
      </c>
    </row>
    <row r="170" spans="1:9" x14ac:dyDescent="0.3">
      <c r="A170" s="8" t="s">
        <v>3</v>
      </c>
      <c r="B170" s="8">
        <v>10</v>
      </c>
      <c r="D170">
        <v>2</v>
      </c>
      <c r="E170">
        <v>6</v>
      </c>
      <c r="F170">
        <f t="shared" si="6"/>
        <v>0.54545454545454541</v>
      </c>
      <c r="G170">
        <v>9</v>
      </c>
      <c r="H170">
        <f t="shared" si="7"/>
        <v>0.8</v>
      </c>
      <c r="I170" s="12">
        <f t="shared" si="8"/>
        <v>0.67272727272727273</v>
      </c>
    </row>
    <row r="171" spans="1:9" x14ac:dyDescent="0.3">
      <c r="A171" s="8" t="s">
        <v>4</v>
      </c>
      <c r="B171" s="8">
        <v>15</v>
      </c>
      <c r="D171">
        <v>3</v>
      </c>
      <c r="E171">
        <v>5</v>
      </c>
      <c r="F171">
        <f t="shared" si="6"/>
        <v>0.40909090909090906</v>
      </c>
      <c r="G171">
        <v>9</v>
      </c>
      <c r="H171">
        <f t="shared" si="7"/>
        <v>0.8</v>
      </c>
      <c r="I171" s="12">
        <f t="shared" si="8"/>
        <v>0.6045454545454545</v>
      </c>
    </row>
    <row r="172" spans="1:9" x14ac:dyDescent="0.3">
      <c r="A172" s="8" t="s">
        <v>5</v>
      </c>
      <c r="B172" s="8" t="s">
        <v>7</v>
      </c>
      <c r="D172">
        <v>4</v>
      </c>
      <c r="E172">
        <v>4.833333333333333</v>
      </c>
      <c r="F172">
        <f t="shared" si="6"/>
        <v>0.3863636363636363</v>
      </c>
      <c r="G172">
        <v>7</v>
      </c>
      <c r="H172">
        <f t="shared" si="7"/>
        <v>0.4</v>
      </c>
      <c r="I172" s="12">
        <f t="shared" si="8"/>
        <v>0.39318181818181819</v>
      </c>
    </row>
    <row r="173" spans="1:9" x14ac:dyDescent="0.3">
      <c r="D173">
        <v>5</v>
      </c>
      <c r="E173">
        <v>6.833333333333333</v>
      </c>
      <c r="F173">
        <f t="shared" si="6"/>
        <v>0.65909090909090895</v>
      </c>
      <c r="G173">
        <v>6</v>
      </c>
      <c r="H173">
        <f t="shared" si="7"/>
        <v>0.2</v>
      </c>
      <c r="I173" s="12">
        <f t="shared" si="8"/>
        <v>0.42954545454545445</v>
      </c>
    </row>
    <row r="174" spans="1:9" x14ac:dyDescent="0.3">
      <c r="D174">
        <v>6</v>
      </c>
      <c r="E174">
        <v>8.3333333333333339</v>
      </c>
      <c r="F174">
        <f t="shared" si="6"/>
        <v>0.86363636363636365</v>
      </c>
      <c r="G174">
        <v>8</v>
      </c>
      <c r="H174">
        <f t="shared" si="7"/>
        <v>0.6</v>
      </c>
      <c r="I174" s="12">
        <f t="shared" si="8"/>
        <v>0.73181818181818181</v>
      </c>
    </row>
    <row r="175" spans="1:9" x14ac:dyDescent="0.3">
      <c r="D175">
        <v>7</v>
      </c>
      <c r="E175">
        <v>7.333333333333333</v>
      </c>
      <c r="F175">
        <f t="shared" si="6"/>
        <v>0.72727272727272718</v>
      </c>
      <c r="G175">
        <v>8</v>
      </c>
      <c r="H175">
        <f t="shared" si="7"/>
        <v>0.6</v>
      </c>
      <c r="I175" s="12">
        <f t="shared" si="8"/>
        <v>0.66363636363636358</v>
      </c>
    </row>
    <row r="176" spans="1:9" x14ac:dyDescent="0.3">
      <c r="D176">
        <v>8</v>
      </c>
      <c r="E176">
        <v>6.5</v>
      </c>
      <c r="F176">
        <f t="shared" si="6"/>
        <v>0.61363636363636354</v>
      </c>
      <c r="G176">
        <v>7</v>
      </c>
      <c r="H176">
        <f t="shared" si="7"/>
        <v>0.4</v>
      </c>
      <c r="I176" s="12">
        <f t="shared" si="8"/>
        <v>0.50681818181818183</v>
      </c>
    </row>
    <row r="177" spans="4:9" x14ac:dyDescent="0.3">
      <c r="D177">
        <v>9</v>
      </c>
      <c r="E177">
        <v>5</v>
      </c>
      <c r="F177">
        <f t="shared" si="6"/>
        <v>0.40909090909090906</v>
      </c>
      <c r="G177">
        <v>10</v>
      </c>
      <c r="H177">
        <f t="shared" si="7"/>
        <v>1</v>
      </c>
      <c r="I177" s="12">
        <f t="shared" si="8"/>
        <v>0.70454545454545459</v>
      </c>
    </row>
    <row r="178" spans="4:9" x14ac:dyDescent="0.3">
      <c r="D178">
        <v>10</v>
      </c>
      <c r="E178">
        <v>4</v>
      </c>
      <c r="F178">
        <f t="shared" si="6"/>
        <v>0.27272727272727271</v>
      </c>
      <c r="G178">
        <v>9</v>
      </c>
      <c r="H178">
        <f t="shared" si="7"/>
        <v>0.8</v>
      </c>
      <c r="I178" s="12">
        <f t="shared" si="8"/>
        <v>0.53636363636363638</v>
      </c>
    </row>
    <row r="179" spans="4:9" x14ac:dyDescent="0.3">
      <c r="D179">
        <v>11</v>
      </c>
      <c r="E179">
        <v>5</v>
      </c>
      <c r="F179">
        <f t="shared" si="6"/>
        <v>0.40909090909090906</v>
      </c>
      <c r="G179">
        <v>8</v>
      </c>
      <c r="H179">
        <f t="shared" si="7"/>
        <v>0.6</v>
      </c>
      <c r="I179" s="12">
        <f t="shared" si="8"/>
        <v>0.50454545454545452</v>
      </c>
    </row>
    <row r="180" spans="4:9" x14ac:dyDescent="0.3">
      <c r="D180">
        <v>12</v>
      </c>
      <c r="E180">
        <v>7.333333333333333</v>
      </c>
      <c r="F180">
        <f t="shared" si="6"/>
        <v>0.72727272727272718</v>
      </c>
      <c r="G180">
        <v>7</v>
      </c>
      <c r="H180">
        <f t="shared" si="7"/>
        <v>0.4</v>
      </c>
      <c r="I180" s="12">
        <f t="shared" si="8"/>
        <v>0.5636363636363636</v>
      </c>
    </row>
    <row r="181" spans="4:9" x14ac:dyDescent="0.3">
      <c r="D181">
        <v>13</v>
      </c>
      <c r="E181">
        <v>6.666666666666667</v>
      </c>
      <c r="F181">
        <f t="shared" si="6"/>
        <v>0.63636363636363635</v>
      </c>
      <c r="G181">
        <v>7</v>
      </c>
      <c r="H181">
        <f t="shared" si="7"/>
        <v>0.4</v>
      </c>
      <c r="I181" s="12">
        <f t="shared" si="8"/>
        <v>0.51818181818181819</v>
      </c>
    </row>
    <row r="182" spans="4:9" x14ac:dyDescent="0.3">
      <c r="D182">
        <v>14</v>
      </c>
      <c r="E182">
        <v>3</v>
      </c>
      <c r="F182">
        <f t="shared" si="6"/>
        <v>0.13636363636363635</v>
      </c>
      <c r="G182">
        <v>8</v>
      </c>
      <c r="H182">
        <f t="shared" si="7"/>
        <v>0.6</v>
      </c>
      <c r="I182" s="12">
        <f t="shared" si="8"/>
        <v>0.36818181818181817</v>
      </c>
    </row>
    <row r="183" spans="4:9" x14ac:dyDescent="0.3">
      <c r="D183">
        <v>15</v>
      </c>
      <c r="E183">
        <v>6.166666666666667</v>
      </c>
      <c r="F183">
        <f t="shared" si="6"/>
        <v>0.56818181818181812</v>
      </c>
      <c r="G183">
        <v>9</v>
      </c>
      <c r="H183">
        <f t="shared" si="7"/>
        <v>0.8</v>
      </c>
      <c r="I183" s="12">
        <f t="shared" si="8"/>
        <v>0.68409090909090908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F9C1-D155-41F9-8162-66B897B413E3}">
  <dimension ref="A1:L217"/>
  <sheetViews>
    <sheetView tabSelected="1" workbookViewId="0">
      <selection activeCell="L229" sqref="L229"/>
    </sheetView>
  </sheetViews>
  <sheetFormatPr defaultRowHeight="14.4" x14ac:dyDescent="0.3"/>
  <cols>
    <col min="1" max="1" width="17.109375" bestFit="1" customWidth="1"/>
    <col min="2" max="2" width="9.6640625" bestFit="1" customWidth="1"/>
    <col min="4" max="4" width="20.77734375" customWidth="1"/>
    <col min="5" max="5" width="14.88671875" bestFit="1" customWidth="1"/>
    <col min="6" max="6" width="21.77734375" bestFit="1" customWidth="1"/>
    <col min="7" max="7" width="45.88671875" style="3" customWidth="1"/>
    <col min="10" max="10" width="11.77734375" bestFit="1" customWidth="1"/>
    <col min="12" max="12" width="25.44140625" bestFit="1" customWidth="1"/>
  </cols>
  <sheetData>
    <row r="1" spans="1:12" ht="59.4" customHeight="1" x14ac:dyDescent="0.3">
      <c r="A1" s="1"/>
      <c r="B1" s="2"/>
      <c r="F1" s="3" t="s">
        <v>20</v>
      </c>
      <c r="G1" s="14" t="s">
        <v>21</v>
      </c>
    </row>
    <row r="2" spans="1:12" x14ac:dyDescent="0.3">
      <c r="A2" s="5"/>
      <c r="B2" s="5"/>
      <c r="C2" s="5"/>
      <c r="D2" s="5"/>
      <c r="I2" s="22" t="s">
        <v>25</v>
      </c>
      <c r="J2" s="22"/>
      <c r="K2" s="22"/>
    </row>
    <row r="3" spans="1:12" x14ac:dyDescent="0.3">
      <c r="A3" s="4" t="s">
        <v>0</v>
      </c>
      <c r="B3" s="4">
        <v>1</v>
      </c>
      <c r="D3" s="6" t="s">
        <v>1</v>
      </c>
      <c r="E3" s="8" t="s">
        <v>24</v>
      </c>
      <c r="F3" s="8" t="s">
        <v>14</v>
      </c>
      <c r="G3" s="13" t="s">
        <v>22</v>
      </c>
      <c r="I3" s="18" t="s">
        <v>16</v>
      </c>
      <c r="J3" s="19" t="s">
        <v>17</v>
      </c>
      <c r="K3" s="20" t="s">
        <v>18</v>
      </c>
    </row>
    <row r="4" spans="1:12" x14ac:dyDescent="0.3">
      <c r="A4" s="8" t="s">
        <v>3</v>
      </c>
      <c r="B4" s="8">
        <v>5</v>
      </c>
      <c r="D4">
        <v>1</v>
      </c>
      <c r="E4">
        <v>537</v>
      </c>
      <c r="F4">
        <v>0.83181818181818179</v>
      </c>
      <c r="G4" s="16" t="str">
        <f>IF(F4&lt;0.25, "Bad", IF(F4&lt;=0.75, "Intermediate", "Excellent"))</f>
        <v>Excellent</v>
      </c>
      <c r="I4">
        <f>SUMIFS(E4:E8, G4:G8, "Bad")</f>
        <v>0</v>
      </c>
      <c r="J4">
        <f>SUMIFS(E4:E8, G4:G8, "Intermediate")</f>
        <v>1964.75</v>
      </c>
      <c r="K4">
        <f>SUMIFS(E4:E8, G4:G8, "Excellent")</f>
        <v>537</v>
      </c>
    </row>
    <row r="5" spans="1:12" x14ac:dyDescent="0.3">
      <c r="A5" s="8" t="s">
        <v>4</v>
      </c>
      <c r="B5" s="8">
        <v>5</v>
      </c>
      <c r="D5">
        <v>2</v>
      </c>
      <c r="E5">
        <v>615.5</v>
      </c>
      <c r="F5">
        <v>0.67272727272727273</v>
      </c>
      <c r="G5" s="17" t="str">
        <f t="shared" ref="G5:G68" si="0">IF(F5&lt;0.25, "Bad", IF(F5&lt;=0.75, "Intermediate", "Excellent"))</f>
        <v>Intermediate</v>
      </c>
      <c r="I5" s="21">
        <f>I4/(I4+J4+K4)</f>
        <v>0</v>
      </c>
      <c r="J5" s="21">
        <f>J4/(J4+I4+K4)</f>
        <v>0.7853502548216249</v>
      </c>
      <c r="K5" s="21">
        <f>K4/(K4+J4+I4)</f>
        <v>0.21464974517837515</v>
      </c>
      <c r="L5" s="4" t="s">
        <v>19</v>
      </c>
    </row>
    <row r="6" spans="1:12" x14ac:dyDescent="0.3">
      <c r="A6" s="8" t="s">
        <v>5</v>
      </c>
      <c r="B6" s="8" t="s">
        <v>6</v>
      </c>
      <c r="D6">
        <v>3</v>
      </c>
      <c r="E6">
        <v>515.5</v>
      </c>
      <c r="F6">
        <v>0.55000000000000004</v>
      </c>
      <c r="G6" s="17" t="str">
        <f t="shared" si="0"/>
        <v>Intermediate</v>
      </c>
    </row>
    <row r="7" spans="1:12" x14ac:dyDescent="0.3">
      <c r="D7">
        <v>4</v>
      </c>
      <c r="E7">
        <v>308.25</v>
      </c>
      <c r="F7">
        <v>0.57045454545454544</v>
      </c>
      <c r="G7" s="17" t="str">
        <f t="shared" si="0"/>
        <v>Intermediate</v>
      </c>
    </row>
    <row r="8" spans="1:12" x14ac:dyDescent="0.3">
      <c r="D8">
        <v>5</v>
      </c>
      <c r="E8">
        <v>525.5</v>
      </c>
      <c r="F8">
        <v>0.6272727272727272</v>
      </c>
      <c r="G8" s="17" t="str">
        <f t="shared" si="0"/>
        <v>Intermediate</v>
      </c>
    </row>
    <row r="9" spans="1:12" x14ac:dyDescent="0.3">
      <c r="A9" s="5"/>
      <c r="B9" s="5"/>
      <c r="C9" s="5"/>
      <c r="D9" s="5"/>
      <c r="I9" s="22" t="s">
        <v>25</v>
      </c>
      <c r="J9" s="22"/>
      <c r="K9" s="22"/>
    </row>
    <row r="10" spans="1:12" x14ac:dyDescent="0.3">
      <c r="A10" s="4" t="s">
        <v>0</v>
      </c>
      <c r="B10" s="4">
        <v>2</v>
      </c>
      <c r="D10" s="6" t="s">
        <v>1</v>
      </c>
      <c r="E10" s="8" t="s">
        <v>24</v>
      </c>
      <c r="I10" s="18" t="s">
        <v>16</v>
      </c>
      <c r="J10" s="19" t="s">
        <v>17</v>
      </c>
      <c r="K10" s="20" t="s">
        <v>18</v>
      </c>
    </row>
    <row r="11" spans="1:12" x14ac:dyDescent="0.3">
      <c r="A11" s="8" t="s">
        <v>3</v>
      </c>
      <c r="B11" s="8">
        <v>5</v>
      </c>
      <c r="D11">
        <v>1</v>
      </c>
      <c r="E11">
        <v>352.75</v>
      </c>
      <c r="F11">
        <v>0.62045454545454537</v>
      </c>
      <c r="G11" s="17" t="str">
        <f t="shared" si="0"/>
        <v>Intermediate</v>
      </c>
      <c r="I11">
        <f>SUMIFS(E11:E20, G11:G20, "Bad")</f>
        <v>0</v>
      </c>
      <c r="J11">
        <f>SUMIFS(E11:E20, G11:G20, "Intermediate")</f>
        <v>1260.25</v>
      </c>
      <c r="K11">
        <f>SUMIFS(E11:E20, G11:G20, "Excellent")</f>
        <v>1241.5</v>
      </c>
    </row>
    <row r="12" spans="1:12" x14ac:dyDescent="0.3">
      <c r="A12" s="8" t="s">
        <v>4</v>
      </c>
      <c r="B12" s="8">
        <v>10</v>
      </c>
      <c r="D12">
        <v>2</v>
      </c>
      <c r="E12">
        <v>470</v>
      </c>
      <c r="F12">
        <v>0.77499999999999991</v>
      </c>
      <c r="G12" s="16" t="str">
        <f t="shared" si="0"/>
        <v>Excellent</v>
      </c>
      <c r="I12" s="21">
        <f>I11/(I11+J11+K11)</f>
        <v>0</v>
      </c>
      <c r="J12" s="21">
        <f>J11/(J11+I11+K11)</f>
        <v>0.50374737683621462</v>
      </c>
      <c r="K12" s="21">
        <f>K11/(K11+J11+I11)</f>
        <v>0.49625262316378538</v>
      </c>
      <c r="L12" s="4" t="s">
        <v>19</v>
      </c>
    </row>
    <row r="13" spans="1:12" x14ac:dyDescent="0.3">
      <c r="A13" s="8" t="s">
        <v>5</v>
      </c>
      <c r="B13" s="8" t="s">
        <v>6</v>
      </c>
      <c r="D13">
        <v>3</v>
      </c>
      <c r="E13">
        <v>214</v>
      </c>
      <c r="F13">
        <v>0.66363636363636358</v>
      </c>
      <c r="G13" s="17" t="str">
        <f t="shared" si="0"/>
        <v>Intermediate</v>
      </c>
      <c r="L13" s="4"/>
    </row>
    <row r="14" spans="1:12" x14ac:dyDescent="0.3">
      <c r="D14">
        <v>4</v>
      </c>
      <c r="E14">
        <v>301.5</v>
      </c>
      <c r="F14">
        <v>0.59545454545454546</v>
      </c>
      <c r="G14" s="17" t="str">
        <f t="shared" si="0"/>
        <v>Intermediate</v>
      </c>
    </row>
    <row r="15" spans="1:12" x14ac:dyDescent="0.3">
      <c r="D15">
        <v>5</v>
      </c>
      <c r="E15">
        <v>145.5</v>
      </c>
      <c r="F15">
        <v>0.79772727272727262</v>
      </c>
      <c r="G15" s="16" t="str">
        <f t="shared" si="0"/>
        <v>Excellent</v>
      </c>
    </row>
    <row r="16" spans="1:12" x14ac:dyDescent="0.3">
      <c r="D16">
        <v>6</v>
      </c>
      <c r="E16">
        <v>84.25</v>
      </c>
      <c r="F16">
        <v>0.61590909090909096</v>
      </c>
      <c r="G16" s="17" t="str">
        <f t="shared" si="0"/>
        <v>Intermediate</v>
      </c>
    </row>
    <row r="17" spans="1:12" x14ac:dyDescent="0.3">
      <c r="D17">
        <v>7</v>
      </c>
      <c r="E17">
        <v>307.75</v>
      </c>
      <c r="F17">
        <v>0.67272727272727273</v>
      </c>
      <c r="G17" s="17" t="str">
        <f t="shared" si="0"/>
        <v>Intermediate</v>
      </c>
    </row>
    <row r="18" spans="1:12" x14ac:dyDescent="0.3">
      <c r="D18">
        <v>8</v>
      </c>
      <c r="E18">
        <v>184.25</v>
      </c>
      <c r="F18">
        <v>0.88863636363636356</v>
      </c>
      <c r="G18" s="16" t="str">
        <f t="shared" si="0"/>
        <v>Excellent</v>
      </c>
    </row>
    <row r="19" spans="1:12" x14ac:dyDescent="0.3">
      <c r="D19">
        <v>9</v>
      </c>
      <c r="E19">
        <v>217.75</v>
      </c>
      <c r="F19">
        <v>0.79772727272727262</v>
      </c>
      <c r="G19" s="16" t="str">
        <f t="shared" si="0"/>
        <v>Excellent</v>
      </c>
    </row>
    <row r="20" spans="1:12" x14ac:dyDescent="0.3">
      <c r="D20">
        <v>10</v>
      </c>
      <c r="E20">
        <v>224</v>
      </c>
      <c r="F20">
        <v>0.82954545454545447</v>
      </c>
      <c r="G20" s="16" t="str">
        <f t="shared" si="0"/>
        <v>Excellent</v>
      </c>
    </row>
    <row r="21" spans="1:12" x14ac:dyDescent="0.3">
      <c r="A21" s="5"/>
      <c r="B21" s="5"/>
      <c r="C21" s="5"/>
      <c r="D21" s="5"/>
      <c r="I21" s="22" t="s">
        <v>25</v>
      </c>
      <c r="J21" s="22"/>
      <c r="K21" s="22"/>
    </row>
    <row r="22" spans="1:12" x14ac:dyDescent="0.3">
      <c r="A22" s="4" t="s">
        <v>0</v>
      </c>
      <c r="B22" s="4">
        <v>3</v>
      </c>
      <c r="D22" s="6" t="s">
        <v>1</v>
      </c>
      <c r="E22" s="8" t="s">
        <v>24</v>
      </c>
      <c r="I22" s="18" t="s">
        <v>16</v>
      </c>
      <c r="J22" s="19" t="s">
        <v>17</v>
      </c>
      <c r="K22" s="20" t="s">
        <v>18</v>
      </c>
    </row>
    <row r="23" spans="1:12" x14ac:dyDescent="0.3">
      <c r="A23" s="8" t="s">
        <v>3</v>
      </c>
      <c r="B23" s="8">
        <v>5</v>
      </c>
      <c r="D23">
        <v>1</v>
      </c>
      <c r="E23">
        <v>298.25</v>
      </c>
      <c r="F23">
        <v>0.55227272727272725</v>
      </c>
      <c r="G23" s="17" t="str">
        <f t="shared" si="0"/>
        <v>Intermediate</v>
      </c>
      <c r="I23">
        <f>SUMIFS(E23:E37, G23:G37, "Bad")</f>
        <v>0</v>
      </c>
      <c r="J23">
        <f>SUMIFS(E23:E37, G23:G37, "Intermediate")</f>
        <v>1429.75</v>
      </c>
      <c r="K23">
        <f>SUMIFS(E23:E37, G23:G37, "Excellent")</f>
        <v>1072</v>
      </c>
    </row>
    <row r="24" spans="1:12" x14ac:dyDescent="0.3">
      <c r="A24" s="8" t="s">
        <v>4</v>
      </c>
      <c r="B24" s="8">
        <v>15</v>
      </c>
      <c r="D24">
        <v>2</v>
      </c>
      <c r="E24">
        <v>182</v>
      </c>
      <c r="F24">
        <v>0.80909090909090908</v>
      </c>
      <c r="G24" s="16" t="str">
        <f t="shared" si="0"/>
        <v>Excellent</v>
      </c>
      <c r="I24" s="21">
        <f>I23/(I23+J23+K23)</f>
        <v>0</v>
      </c>
      <c r="J24" s="21">
        <f>J23/(J23+I23+K23)</f>
        <v>0.57149995003497556</v>
      </c>
      <c r="K24" s="21">
        <f>K23/(K23+J23+I23)</f>
        <v>0.4285000499650245</v>
      </c>
      <c r="L24" s="4" t="s">
        <v>19</v>
      </c>
    </row>
    <row r="25" spans="1:12" x14ac:dyDescent="0.3">
      <c r="A25" s="8" t="s">
        <v>5</v>
      </c>
      <c r="B25" s="8" t="s">
        <v>6</v>
      </c>
      <c r="D25">
        <v>3</v>
      </c>
      <c r="E25">
        <v>114.25</v>
      </c>
      <c r="F25">
        <v>0.61818181818181817</v>
      </c>
      <c r="G25" s="17" t="str">
        <f t="shared" si="0"/>
        <v>Intermediate</v>
      </c>
    </row>
    <row r="26" spans="1:12" x14ac:dyDescent="0.3">
      <c r="D26">
        <v>4</v>
      </c>
      <c r="E26">
        <v>141.5</v>
      </c>
      <c r="F26">
        <v>0.58409090909090899</v>
      </c>
      <c r="G26" s="17" t="str">
        <f t="shared" si="0"/>
        <v>Intermediate</v>
      </c>
    </row>
    <row r="27" spans="1:12" x14ac:dyDescent="0.3">
      <c r="D27">
        <v>5</v>
      </c>
      <c r="E27">
        <v>145.5</v>
      </c>
      <c r="F27">
        <v>0.7522727272727272</v>
      </c>
      <c r="G27" s="16" t="str">
        <f t="shared" si="0"/>
        <v>Excellent</v>
      </c>
    </row>
    <row r="28" spans="1:12" x14ac:dyDescent="0.3">
      <c r="D28">
        <v>6</v>
      </c>
      <c r="E28">
        <v>160</v>
      </c>
      <c r="F28">
        <v>0.60909090909090913</v>
      </c>
      <c r="G28" s="17" t="str">
        <f t="shared" si="0"/>
        <v>Intermediate</v>
      </c>
    </row>
    <row r="29" spans="1:12" x14ac:dyDescent="0.3">
      <c r="D29">
        <v>7</v>
      </c>
      <c r="E29">
        <v>54.5</v>
      </c>
      <c r="F29">
        <v>0.77727272727272723</v>
      </c>
      <c r="G29" s="16" t="str">
        <f t="shared" si="0"/>
        <v>Excellent</v>
      </c>
    </row>
    <row r="30" spans="1:12" x14ac:dyDescent="0.3">
      <c r="D30">
        <v>8</v>
      </c>
      <c r="E30">
        <v>84.25</v>
      </c>
      <c r="F30">
        <v>0.68409090909090908</v>
      </c>
      <c r="G30" s="17" t="str">
        <f t="shared" si="0"/>
        <v>Intermediate</v>
      </c>
    </row>
    <row r="31" spans="1:12" x14ac:dyDescent="0.3">
      <c r="D31">
        <v>9</v>
      </c>
      <c r="E31">
        <v>288</v>
      </c>
      <c r="F31">
        <v>0.80909090909090908</v>
      </c>
      <c r="G31" s="16" t="str">
        <f t="shared" si="0"/>
        <v>Excellent</v>
      </c>
    </row>
    <row r="32" spans="1:12" x14ac:dyDescent="0.3">
      <c r="D32">
        <v>10</v>
      </c>
      <c r="E32">
        <v>231.75</v>
      </c>
      <c r="F32">
        <v>0.70909090909090899</v>
      </c>
      <c r="G32" s="17" t="str">
        <f t="shared" si="0"/>
        <v>Intermediate</v>
      </c>
    </row>
    <row r="33" spans="1:12" x14ac:dyDescent="0.3">
      <c r="D33">
        <v>11</v>
      </c>
      <c r="E33">
        <v>184.25</v>
      </c>
      <c r="F33">
        <v>0.84318181818181814</v>
      </c>
      <c r="G33" s="16" t="str">
        <f t="shared" si="0"/>
        <v>Excellent</v>
      </c>
    </row>
    <row r="34" spans="1:12" x14ac:dyDescent="0.3">
      <c r="D34">
        <v>12</v>
      </c>
      <c r="E34">
        <v>217.75</v>
      </c>
      <c r="F34">
        <v>0.82045454545454533</v>
      </c>
      <c r="G34" s="16" t="str">
        <f t="shared" si="0"/>
        <v>Excellent</v>
      </c>
    </row>
    <row r="35" spans="1:12" x14ac:dyDescent="0.3">
      <c r="D35">
        <v>13</v>
      </c>
      <c r="E35">
        <v>224</v>
      </c>
      <c r="F35">
        <v>0.7295454545454545</v>
      </c>
      <c r="G35" s="17" t="str">
        <f t="shared" si="0"/>
        <v>Intermediate</v>
      </c>
    </row>
    <row r="36" spans="1:12" x14ac:dyDescent="0.3">
      <c r="D36">
        <v>14</v>
      </c>
      <c r="E36">
        <v>76</v>
      </c>
      <c r="F36">
        <v>0.61818181818181817</v>
      </c>
      <c r="G36" s="17" t="str">
        <f t="shared" si="0"/>
        <v>Intermediate</v>
      </c>
    </row>
    <row r="37" spans="1:12" x14ac:dyDescent="0.3">
      <c r="D37">
        <v>15</v>
      </c>
      <c r="E37">
        <v>99.75</v>
      </c>
      <c r="F37">
        <v>0.59545454545454546</v>
      </c>
      <c r="G37" s="17" t="str">
        <f t="shared" si="0"/>
        <v>Intermediate</v>
      </c>
    </row>
    <row r="38" spans="1:12" x14ac:dyDescent="0.3">
      <c r="A38" s="5"/>
      <c r="B38" s="5"/>
      <c r="C38" s="5"/>
      <c r="D38" s="5"/>
      <c r="I38" s="22" t="s">
        <v>25</v>
      </c>
      <c r="J38" s="22"/>
      <c r="K38" s="22"/>
    </row>
    <row r="39" spans="1:12" x14ac:dyDescent="0.3">
      <c r="A39" s="4" t="s">
        <v>0</v>
      </c>
      <c r="B39" s="4">
        <v>4</v>
      </c>
      <c r="D39" s="6" t="s">
        <v>1</v>
      </c>
      <c r="E39" s="8" t="s">
        <v>24</v>
      </c>
      <c r="I39" s="18" t="s">
        <v>16</v>
      </c>
      <c r="J39" s="19" t="s">
        <v>17</v>
      </c>
      <c r="K39" s="20" t="s">
        <v>18</v>
      </c>
    </row>
    <row r="40" spans="1:12" x14ac:dyDescent="0.3">
      <c r="A40" s="8" t="s">
        <v>3</v>
      </c>
      <c r="B40" s="8">
        <v>5</v>
      </c>
      <c r="D40">
        <v>1</v>
      </c>
      <c r="E40">
        <v>379.25</v>
      </c>
      <c r="F40">
        <v>0.5636363636363636</v>
      </c>
      <c r="G40" s="17" t="str">
        <f t="shared" si="0"/>
        <v>Intermediate</v>
      </c>
      <c r="I40">
        <f>SUMIFS(E40:E44, G40:G44, "Bad")</f>
        <v>0</v>
      </c>
      <c r="J40">
        <f>SUMIFS(E40:E44, G40:G44, "Intermediate")</f>
        <v>2501.75</v>
      </c>
      <c r="K40">
        <f>SUMIFS(E40:E44, G40:G44, "Excellent")</f>
        <v>0</v>
      </c>
    </row>
    <row r="41" spans="1:12" x14ac:dyDescent="0.3">
      <c r="A41" s="8" t="s">
        <v>4</v>
      </c>
      <c r="B41" s="8">
        <v>5</v>
      </c>
      <c r="D41">
        <v>2</v>
      </c>
      <c r="E41">
        <v>1910.75</v>
      </c>
      <c r="F41">
        <v>0.34545454545454546</v>
      </c>
      <c r="G41" s="17" t="str">
        <f t="shared" si="0"/>
        <v>Intermediate</v>
      </c>
      <c r="I41" s="21">
        <f>I40/(I40+J40+K40)</f>
        <v>0</v>
      </c>
      <c r="J41" s="21">
        <f>J40/(J40+I40+K40)</f>
        <v>1</v>
      </c>
      <c r="K41" s="21">
        <f>K40/(K40+J40+I40)</f>
        <v>0</v>
      </c>
      <c r="L41" s="4" t="s">
        <v>19</v>
      </c>
    </row>
    <row r="42" spans="1:12" x14ac:dyDescent="0.3">
      <c r="A42" s="8" t="s">
        <v>5</v>
      </c>
      <c r="B42" s="8" t="s">
        <v>7</v>
      </c>
      <c r="D42">
        <v>3</v>
      </c>
      <c r="E42">
        <v>149.5</v>
      </c>
      <c r="F42">
        <v>0.50681818181818183</v>
      </c>
      <c r="G42" s="17" t="str">
        <f t="shared" si="0"/>
        <v>Intermediate</v>
      </c>
    </row>
    <row r="43" spans="1:12" x14ac:dyDescent="0.3">
      <c r="D43">
        <v>4</v>
      </c>
      <c r="E43">
        <v>24.5</v>
      </c>
      <c r="F43">
        <v>0.59772727272727266</v>
      </c>
      <c r="G43" s="17" t="str">
        <f t="shared" si="0"/>
        <v>Intermediate</v>
      </c>
    </row>
    <row r="44" spans="1:12" x14ac:dyDescent="0.3">
      <c r="D44">
        <v>5</v>
      </c>
      <c r="E44">
        <v>37.75</v>
      </c>
      <c r="F44">
        <v>0.58409090909090899</v>
      </c>
      <c r="G44" s="17" t="str">
        <f t="shared" si="0"/>
        <v>Intermediate</v>
      </c>
    </row>
    <row r="45" spans="1:12" x14ac:dyDescent="0.3">
      <c r="A45" s="5"/>
      <c r="B45" s="5"/>
      <c r="C45" s="5"/>
      <c r="D45" s="5"/>
      <c r="I45" s="22" t="s">
        <v>25</v>
      </c>
      <c r="J45" s="22"/>
      <c r="K45" s="22"/>
    </row>
    <row r="46" spans="1:12" x14ac:dyDescent="0.3">
      <c r="A46" s="4" t="s">
        <v>0</v>
      </c>
      <c r="B46" s="4">
        <v>5</v>
      </c>
      <c r="D46" s="6" t="s">
        <v>1</v>
      </c>
      <c r="E46" s="8" t="s">
        <v>24</v>
      </c>
      <c r="I46" s="18" t="s">
        <v>16</v>
      </c>
      <c r="J46" s="19" t="s">
        <v>17</v>
      </c>
      <c r="K46" s="20" t="s">
        <v>18</v>
      </c>
    </row>
    <row r="47" spans="1:12" x14ac:dyDescent="0.3">
      <c r="A47" s="8" t="s">
        <v>3</v>
      </c>
      <c r="B47" s="8">
        <v>5</v>
      </c>
      <c r="D47">
        <v>1</v>
      </c>
      <c r="E47">
        <v>372.75</v>
      </c>
      <c r="F47">
        <v>0.66363636363636358</v>
      </c>
      <c r="G47" s="17" t="str">
        <f t="shared" si="0"/>
        <v>Intermediate</v>
      </c>
      <c r="I47">
        <f>SUMIFS(E47:E56, G47:G56, "Bad")</f>
        <v>0</v>
      </c>
      <c r="J47">
        <f>SUMIFS(E47:E56, G47:G56, "Intermediate")</f>
        <v>2501.75</v>
      </c>
      <c r="K47">
        <f>SUMIFS(E47:E56, G47:G56, "Excellent")</f>
        <v>0</v>
      </c>
    </row>
    <row r="48" spans="1:12" x14ac:dyDescent="0.3">
      <c r="A48" s="8" t="s">
        <v>4</v>
      </c>
      <c r="B48" s="8">
        <v>10</v>
      </c>
      <c r="D48">
        <v>2</v>
      </c>
      <c r="E48">
        <v>1518.5</v>
      </c>
      <c r="F48">
        <v>0.35681818181818181</v>
      </c>
      <c r="G48" s="17" t="str">
        <f t="shared" si="0"/>
        <v>Intermediate</v>
      </c>
      <c r="I48" s="21">
        <f>I47/(I47+J47+K47)</f>
        <v>0</v>
      </c>
      <c r="J48" s="21">
        <f>J47/(J47+I47+K47)</f>
        <v>1</v>
      </c>
      <c r="K48" s="21">
        <f>K47/(K47+J47+I47)</f>
        <v>0</v>
      </c>
      <c r="L48" s="4" t="s">
        <v>19</v>
      </c>
    </row>
    <row r="49" spans="1:12" x14ac:dyDescent="0.3">
      <c r="A49" s="8" t="s">
        <v>5</v>
      </c>
      <c r="B49" s="8" t="s">
        <v>7</v>
      </c>
      <c r="D49">
        <v>3</v>
      </c>
      <c r="E49">
        <v>149.5</v>
      </c>
      <c r="F49">
        <v>0.39545454545454539</v>
      </c>
      <c r="G49" s="17" t="str">
        <f t="shared" si="0"/>
        <v>Intermediate</v>
      </c>
    </row>
    <row r="50" spans="1:12" x14ac:dyDescent="0.3">
      <c r="D50">
        <v>4</v>
      </c>
      <c r="E50">
        <v>131.5</v>
      </c>
      <c r="F50">
        <v>0.32954545454545447</v>
      </c>
      <c r="G50" s="17" t="str">
        <f t="shared" si="0"/>
        <v>Intermediate</v>
      </c>
    </row>
    <row r="51" spans="1:12" x14ac:dyDescent="0.3">
      <c r="D51">
        <v>5</v>
      </c>
      <c r="E51">
        <v>185</v>
      </c>
      <c r="F51">
        <v>0.6272727272727272</v>
      </c>
      <c r="G51" s="17" t="str">
        <f t="shared" si="0"/>
        <v>Intermediate</v>
      </c>
    </row>
    <row r="52" spans="1:12" x14ac:dyDescent="0.3">
      <c r="D52">
        <v>6</v>
      </c>
      <c r="E52">
        <v>75.75</v>
      </c>
      <c r="F52">
        <v>0.38181818181818183</v>
      </c>
      <c r="G52" s="17" t="str">
        <f t="shared" si="0"/>
        <v>Intermediate</v>
      </c>
    </row>
    <row r="53" spans="1:12" x14ac:dyDescent="0.3">
      <c r="D53">
        <v>7</v>
      </c>
      <c r="E53">
        <v>17.5</v>
      </c>
      <c r="F53">
        <v>0.74318181818181817</v>
      </c>
      <c r="G53" s="17" t="str">
        <f t="shared" si="0"/>
        <v>Intermediate</v>
      </c>
    </row>
    <row r="54" spans="1:12" x14ac:dyDescent="0.3">
      <c r="D54">
        <v>8</v>
      </c>
      <c r="E54">
        <v>37.75</v>
      </c>
      <c r="F54">
        <v>0.47499999999999998</v>
      </c>
      <c r="G54" s="17" t="str">
        <f t="shared" si="0"/>
        <v>Intermediate</v>
      </c>
    </row>
    <row r="55" spans="1:12" x14ac:dyDescent="0.3">
      <c r="D55">
        <v>9</v>
      </c>
      <c r="E55">
        <v>6.5</v>
      </c>
      <c r="F55">
        <v>0.7</v>
      </c>
      <c r="G55" s="17" t="str">
        <f t="shared" si="0"/>
        <v>Intermediate</v>
      </c>
    </row>
    <row r="56" spans="1:12" x14ac:dyDescent="0.3">
      <c r="D56">
        <v>10</v>
      </c>
      <c r="E56">
        <v>7</v>
      </c>
      <c r="F56">
        <v>0.73181818181818181</v>
      </c>
      <c r="G56" s="17" t="str">
        <f t="shared" si="0"/>
        <v>Intermediate</v>
      </c>
    </row>
    <row r="57" spans="1:12" x14ac:dyDescent="0.3">
      <c r="A57" s="5"/>
      <c r="B57" s="5"/>
      <c r="C57" s="5"/>
      <c r="D57" s="5"/>
      <c r="I57" s="22" t="s">
        <v>25</v>
      </c>
      <c r="J57" s="22"/>
      <c r="K57" s="22"/>
    </row>
    <row r="58" spans="1:12" x14ac:dyDescent="0.3">
      <c r="A58" s="4" t="s">
        <v>0</v>
      </c>
      <c r="B58" s="4">
        <v>6</v>
      </c>
      <c r="D58" s="6" t="s">
        <v>1</v>
      </c>
      <c r="E58" s="8" t="s">
        <v>24</v>
      </c>
      <c r="I58" s="18" t="s">
        <v>16</v>
      </c>
      <c r="J58" s="19" t="s">
        <v>17</v>
      </c>
      <c r="K58" s="20" t="s">
        <v>18</v>
      </c>
    </row>
    <row r="59" spans="1:12" x14ac:dyDescent="0.3">
      <c r="A59" s="8" t="s">
        <v>3</v>
      </c>
      <c r="B59" s="8">
        <v>5</v>
      </c>
      <c r="D59">
        <v>1</v>
      </c>
      <c r="E59">
        <v>372.75</v>
      </c>
      <c r="F59">
        <v>0.70681818181818179</v>
      </c>
      <c r="G59" s="17" t="str">
        <f t="shared" si="0"/>
        <v>Intermediate</v>
      </c>
      <c r="I59">
        <f>SUMIFS(E59:E73, G59:G73, "Bad")</f>
        <v>0</v>
      </c>
      <c r="J59">
        <f>SUMIFS(E59:E73, G59:G73, "Intermediate")</f>
        <v>2351.5</v>
      </c>
      <c r="K59">
        <f>SUMIFS(E59:E73, G59:G73, "Excellent")</f>
        <v>150.25</v>
      </c>
    </row>
    <row r="60" spans="1:12" x14ac:dyDescent="0.3">
      <c r="A60" s="8" t="s">
        <v>4</v>
      </c>
      <c r="B60" s="8">
        <v>15</v>
      </c>
      <c r="D60">
        <v>2</v>
      </c>
      <c r="E60">
        <v>1518.5</v>
      </c>
      <c r="F60">
        <v>0.42272727272727273</v>
      </c>
      <c r="G60" s="17" t="str">
        <f t="shared" si="0"/>
        <v>Intermediate</v>
      </c>
      <c r="I60" s="21">
        <f>I59/(I59+J59+K59)</f>
        <v>0</v>
      </c>
      <c r="J60" s="21">
        <f>J59/(J59+I59+K59)</f>
        <v>0.93994204057159991</v>
      </c>
      <c r="K60" s="21">
        <f>K59/(K59+J59+I59)</f>
        <v>6.0057959428400122E-2</v>
      </c>
      <c r="L60" s="4" t="s">
        <v>19</v>
      </c>
    </row>
    <row r="61" spans="1:12" x14ac:dyDescent="0.3">
      <c r="A61" s="8" t="s">
        <v>5</v>
      </c>
      <c r="B61" s="8" t="s">
        <v>7</v>
      </c>
      <c r="D61">
        <v>3</v>
      </c>
      <c r="E61">
        <v>149.5</v>
      </c>
      <c r="F61">
        <v>0.46136363636363631</v>
      </c>
      <c r="G61" s="17" t="str">
        <f t="shared" si="0"/>
        <v>Intermediate</v>
      </c>
    </row>
    <row r="62" spans="1:12" x14ac:dyDescent="0.3">
      <c r="D62">
        <v>4</v>
      </c>
      <c r="E62">
        <v>131.5</v>
      </c>
      <c r="F62">
        <v>0.38409090909090904</v>
      </c>
      <c r="G62" s="17" t="str">
        <f t="shared" si="0"/>
        <v>Intermediate</v>
      </c>
    </row>
    <row r="63" spans="1:12" x14ac:dyDescent="0.3">
      <c r="D63">
        <v>5</v>
      </c>
      <c r="E63">
        <v>58.5</v>
      </c>
      <c r="F63">
        <v>0.67499999999999993</v>
      </c>
      <c r="G63" s="17" t="str">
        <f t="shared" si="0"/>
        <v>Intermediate</v>
      </c>
    </row>
    <row r="64" spans="1:12" x14ac:dyDescent="0.3">
      <c r="D64">
        <v>6</v>
      </c>
      <c r="E64">
        <v>61.5</v>
      </c>
      <c r="F64">
        <v>0.82045454545454533</v>
      </c>
      <c r="G64" s="16" t="str">
        <f t="shared" si="0"/>
        <v>Excellent</v>
      </c>
    </row>
    <row r="65" spans="1:12" x14ac:dyDescent="0.3">
      <c r="D65">
        <v>7</v>
      </c>
      <c r="E65">
        <v>29.25</v>
      </c>
      <c r="F65">
        <v>0.74318181818181817</v>
      </c>
      <c r="G65" s="17" t="str">
        <f t="shared" si="0"/>
        <v>Intermediate</v>
      </c>
    </row>
    <row r="66" spans="1:12" x14ac:dyDescent="0.3">
      <c r="D66">
        <v>8</v>
      </c>
      <c r="E66">
        <v>46.75</v>
      </c>
      <c r="F66">
        <v>0.74090909090909096</v>
      </c>
      <c r="G66" s="17" t="str">
        <f t="shared" si="0"/>
        <v>Intermediate</v>
      </c>
    </row>
    <row r="67" spans="1:12" x14ac:dyDescent="0.3">
      <c r="D67">
        <v>9</v>
      </c>
      <c r="E67">
        <v>17.5</v>
      </c>
      <c r="F67">
        <v>0.75454545454545441</v>
      </c>
      <c r="G67" s="16" t="str">
        <f t="shared" si="0"/>
        <v>Excellent</v>
      </c>
    </row>
    <row r="68" spans="1:12" x14ac:dyDescent="0.3">
      <c r="D68">
        <v>10</v>
      </c>
      <c r="E68">
        <v>29</v>
      </c>
      <c r="F68">
        <v>0.8772727272727272</v>
      </c>
      <c r="G68" s="16" t="str">
        <f t="shared" si="0"/>
        <v>Excellent</v>
      </c>
    </row>
    <row r="69" spans="1:12" x14ac:dyDescent="0.3">
      <c r="D69">
        <v>11</v>
      </c>
      <c r="E69">
        <v>37.75</v>
      </c>
      <c r="F69">
        <v>0.74090909090909096</v>
      </c>
      <c r="G69" s="17" t="str">
        <f t="shared" ref="G69:G132" si="1">IF(F69&lt;0.25, "Bad", IF(F69&lt;=0.75, "Intermediate", "Excellent"))</f>
        <v>Intermediate</v>
      </c>
    </row>
    <row r="70" spans="1:12" x14ac:dyDescent="0.3">
      <c r="D70">
        <v>12</v>
      </c>
      <c r="E70">
        <v>9.25</v>
      </c>
      <c r="F70">
        <v>0.80909090909090908</v>
      </c>
      <c r="G70" s="16" t="str">
        <f t="shared" si="1"/>
        <v>Excellent</v>
      </c>
    </row>
    <row r="71" spans="1:12" x14ac:dyDescent="0.3">
      <c r="D71">
        <v>13</v>
      </c>
      <c r="E71">
        <v>26.5</v>
      </c>
      <c r="F71">
        <v>0.80909090909090908</v>
      </c>
      <c r="G71" s="16" t="str">
        <f t="shared" si="1"/>
        <v>Excellent</v>
      </c>
    </row>
    <row r="72" spans="1:12" x14ac:dyDescent="0.3">
      <c r="D72">
        <v>14</v>
      </c>
      <c r="E72">
        <v>6.5</v>
      </c>
      <c r="F72">
        <v>0.88863636363636356</v>
      </c>
      <c r="G72" s="16" t="str">
        <f t="shared" si="1"/>
        <v>Excellent</v>
      </c>
    </row>
    <row r="73" spans="1:12" x14ac:dyDescent="0.3">
      <c r="D73">
        <v>15</v>
      </c>
      <c r="E73">
        <v>7</v>
      </c>
      <c r="F73">
        <v>0.69772727272727264</v>
      </c>
      <c r="G73" s="17" t="str">
        <f t="shared" si="1"/>
        <v>Intermediate</v>
      </c>
    </row>
    <row r="74" spans="1:12" x14ac:dyDescent="0.3">
      <c r="A74" s="5"/>
      <c r="B74" s="5"/>
      <c r="C74" s="5"/>
      <c r="D74" s="5"/>
      <c r="I74" s="22" t="s">
        <v>25</v>
      </c>
      <c r="J74" s="22"/>
      <c r="K74" s="22"/>
    </row>
    <row r="75" spans="1:12" x14ac:dyDescent="0.3">
      <c r="A75" s="4" t="s">
        <v>0</v>
      </c>
      <c r="B75" s="4">
        <v>7</v>
      </c>
      <c r="D75" s="6" t="s">
        <v>1</v>
      </c>
      <c r="E75" s="8" t="s">
        <v>24</v>
      </c>
      <c r="I75" s="18" t="s">
        <v>16</v>
      </c>
      <c r="J75" s="19" t="s">
        <v>17</v>
      </c>
      <c r="K75" s="20" t="s">
        <v>18</v>
      </c>
    </row>
    <row r="76" spans="1:12" x14ac:dyDescent="0.3">
      <c r="A76" s="8" t="s">
        <v>3</v>
      </c>
      <c r="B76" s="8">
        <v>7</v>
      </c>
      <c r="D76">
        <v>1</v>
      </c>
      <c r="E76">
        <v>596.82000000000005</v>
      </c>
      <c r="F76">
        <v>0.42727272727272725</v>
      </c>
      <c r="G76" s="17" t="str">
        <f t="shared" si="1"/>
        <v>Intermediate</v>
      </c>
      <c r="I76">
        <f>SUMIFS(E76:E80, G76:G80, "Bad")</f>
        <v>0</v>
      </c>
      <c r="J76">
        <f>SUMIFS(E76:E80, G76:G80, "Intermediate")</f>
        <v>2608.27</v>
      </c>
      <c r="K76">
        <f>SUMIFS(E76:E80, G76:G80, "Excellent")</f>
        <v>0</v>
      </c>
    </row>
    <row r="77" spans="1:12" x14ac:dyDescent="0.3">
      <c r="A77" s="8" t="s">
        <v>4</v>
      </c>
      <c r="B77" s="8">
        <v>5</v>
      </c>
      <c r="D77">
        <v>2</v>
      </c>
      <c r="E77">
        <v>683.55000000000007</v>
      </c>
      <c r="F77">
        <v>0.45909090909090905</v>
      </c>
      <c r="G77" s="17" t="str">
        <f t="shared" si="1"/>
        <v>Intermediate</v>
      </c>
      <c r="I77" s="21">
        <f>I76/(I76+J76+K76)</f>
        <v>0</v>
      </c>
      <c r="J77" s="21">
        <f>J76/(J76+I76+K76)</f>
        <v>1</v>
      </c>
      <c r="K77" s="21">
        <f>K76/(K76+J76+I76)</f>
        <v>0</v>
      </c>
      <c r="L77" s="4" t="s">
        <v>19</v>
      </c>
    </row>
    <row r="78" spans="1:12" x14ac:dyDescent="0.3">
      <c r="A78" s="8" t="s">
        <v>5</v>
      </c>
      <c r="B78" s="8" t="s">
        <v>6</v>
      </c>
      <c r="D78">
        <v>3</v>
      </c>
      <c r="E78">
        <v>514.01</v>
      </c>
      <c r="F78">
        <v>0.70909090909090899</v>
      </c>
      <c r="G78" s="17" t="str">
        <f t="shared" si="1"/>
        <v>Intermediate</v>
      </c>
    </row>
    <row r="79" spans="1:12" x14ac:dyDescent="0.3">
      <c r="D79">
        <v>4</v>
      </c>
      <c r="E79">
        <v>551.25</v>
      </c>
      <c r="F79">
        <v>0.48181818181818181</v>
      </c>
      <c r="G79" s="17" t="str">
        <f t="shared" si="1"/>
        <v>Intermediate</v>
      </c>
    </row>
    <row r="80" spans="1:12" x14ac:dyDescent="0.3">
      <c r="D80">
        <v>5</v>
      </c>
      <c r="E80">
        <v>262.64</v>
      </c>
      <c r="F80">
        <v>0.68409090909090908</v>
      </c>
      <c r="G80" s="17" t="str">
        <f t="shared" si="1"/>
        <v>Intermediate</v>
      </c>
    </row>
    <row r="81" spans="1:12" x14ac:dyDescent="0.3">
      <c r="A81" s="5"/>
      <c r="B81" s="5"/>
      <c r="C81" s="5"/>
      <c r="D81" s="5"/>
      <c r="I81" s="22" t="s">
        <v>25</v>
      </c>
      <c r="J81" s="22"/>
      <c r="K81" s="22"/>
    </row>
    <row r="82" spans="1:12" x14ac:dyDescent="0.3">
      <c r="A82" s="4" t="s">
        <v>0</v>
      </c>
      <c r="B82" s="4">
        <v>8</v>
      </c>
      <c r="D82" s="6" t="s">
        <v>1</v>
      </c>
      <c r="E82" s="8" t="s">
        <v>24</v>
      </c>
      <c r="I82" s="18" t="s">
        <v>16</v>
      </c>
      <c r="J82" s="19" t="s">
        <v>17</v>
      </c>
      <c r="K82" s="20" t="s">
        <v>18</v>
      </c>
    </row>
    <row r="83" spans="1:12" x14ac:dyDescent="0.3">
      <c r="A83" s="8" t="s">
        <v>3</v>
      </c>
      <c r="B83" s="8">
        <v>7</v>
      </c>
      <c r="D83">
        <v>1</v>
      </c>
      <c r="E83">
        <v>287.63</v>
      </c>
      <c r="F83">
        <v>0.78636363636363638</v>
      </c>
      <c r="G83" s="16" t="str">
        <f t="shared" si="1"/>
        <v>Excellent</v>
      </c>
      <c r="I83">
        <f>SUMIFS(E83:E92, G83:G92, "Bad")</f>
        <v>0</v>
      </c>
      <c r="J83">
        <f>SUMIFS(E83:E92, G83:G92, "Intermediate")</f>
        <v>1919.3300000000002</v>
      </c>
      <c r="K83">
        <f>SUMIFS(E83:E92, G83:G92, "Excellent")</f>
        <v>688.94</v>
      </c>
    </row>
    <row r="84" spans="1:12" x14ac:dyDescent="0.3">
      <c r="A84" s="8" t="s">
        <v>4</v>
      </c>
      <c r="B84" s="8">
        <v>10</v>
      </c>
      <c r="D84">
        <v>2</v>
      </c>
      <c r="E84">
        <v>182.28</v>
      </c>
      <c r="F84">
        <v>0.71818181818181825</v>
      </c>
      <c r="G84" s="17" t="str">
        <f t="shared" si="1"/>
        <v>Intermediate</v>
      </c>
      <c r="I84" s="21">
        <f>I83/(I83+J83+K83)</f>
        <v>0</v>
      </c>
      <c r="J84" s="21">
        <f>J83/(J83+I83+K83)</f>
        <v>0.73586323501784701</v>
      </c>
      <c r="K84" s="21">
        <f>K83/(K83+J83+I83)</f>
        <v>0.26413676498215288</v>
      </c>
      <c r="L84" s="4" t="s">
        <v>19</v>
      </c>
    </row>
    <row r="85" spans="1:12" x14ac:dyDescent="0.3">
      <c r="A85" s="8" t="s">
        <v>5</v>
      </c>
      <c r="B85" s="8" t="s">
        <v>6</v>
      </c>
      <c r="D85">
        <v>3</v>
      </c>
      <c r="E85">
        <v>569.87</v>
      </c>
      <c r="F85">
        <v>0.47272727272727272</v>
      </c>
      <c r="G85" s="17" t="str">
        <f t="shared" si="1"/>
        <v>Intermediate</v>
      </c>
    </row>
    <row r="86" spans="1:12" x14ac:dyDescent="0.3">
      <c r="D86">
        <v>4</v>
      </c>
      <c r="E86">
        <v>126.91</v>
      </c>
      <c r="F86">
        <v>0.51818181818181819</v>
      </c>
      <c r="G86" s="17" t="str">
        <f t="shared" si="1"/>
        <v>Intermediate</v>
      </c>
    </row>
    <row r="87" spans="1:12" x14ac:dyDescent="0.3">
      <c r="D87">
        <v>5</v>
      </c>
      <c r="E87">
        <v>181.3</v>
      </c>
      <c r="F87">
        <v>0.80909090909090908</v>
      </c>
      <c r="G87" s="16" t="str">
        <f t="shared" si="1"/>
        <v>Excellent</v>
      </c>
    </row>
    <row r="88" spans="1:12" x14ac:dyDescent="0.3">
      <c r="D88">
        <v>6</v>
      </c>
      <c r="E88">
        <v>220.01</v>
      </c>
      <c r="F88">
        <v>0.76363636363636367</v>
      </c>
      <c r="G88" s="16" t="str">
        <f t="shared" si="1"/>
        <v>Excellent</v>
      </c>
    </row>
    <row r="89" spans="1:12" x14ac:dyDescent="0.3">
      <c r="D89">
        <v>7</v>
      </c>
      <c r="E89">
        <v>331.24</v>
      </c>
      <c r="F89">
        <v>0.67499999999999993</v>
      </c>
      <c r="G89" s="17" t="str">
        <f t="shared" si="1"/>
        <v>Intermediate</v>
      </c>
    </row>
    <row r="90" spans="1:12" x14ac:dyDescent="0.3">
      <c r="D90">
        <v>8</v>
      </c>
      <c r="E90">
        <v>332.71</v>
      </c>
      <c r="F90">
        <v>0.66363636363636358</v>
      </c>
      <c r="G90" s="17" t="str">
        <f t="shared" si="1"/>
        <v>Intermediate</v>
      </c>
    </row>
    <row r="91" spans="1:12" x14ac:dyDescent="0.3">
      <c r="D91">
        <v>9</v>
      </c>
      <c r="E91">
        <v>262.64</v>
      </c>
      <c r="F91">
        <v>0.61590909090909096</v>
      </c>
      <c r="G91" s="17" t="str">
        <f t="shared" si="1"/>
        <v>Intermediate</v>
      </c>
    </row>
    <row r="92" spans="1:12" x14ac:dyDescent="0.3">
      <c r="D92">
        <v>10</v>
      </c>
      <c r="E92">
        <v>113.68</v>
      </c>
      <c r="F92">
        <v>0.64090909090909087</v>
      </c>
      <c r="G92" s="17" t="str">
        <f t="shared" si="1"/>
        <v>Intermediate</v>
      </c>
    </row>
    <row r="93" spans="1:12" x14ac:dyDescent="0.3">
      <c r="A93" s="5"/>
      <c r="B93" s="5"/>
      <c r="C93" s="5"/>
      <c r="D93" s="5"/>
      <c r="I93" s="22" t="s">
        <v>25</v>
      </c>
      <c r="J93" s="22"/>
      <c r="K93" s="22"/>
    </row>
    <row r="94" spans="1:12" x14ac:dyDescent="0.3">
      <c r="A94" s="4" t="s">
        <v>0</v>
      </c>
      <c r="B94" s="4">
        <v>9</v>
      </c>
      <c r="D94" s="6" t="s">
        <v>1</v>
      </c>
      <c r="E94" s="8" t="s">
        <v>24</v>
      </c>
      <c r="I94" s="18" t="s">
        <v>16</v>
      </c>
      <c r="J94" s="19" t="s">
        <v>17</v>
      </c>
      <c r="K94" s="20" t="s">
        <v>18</v>
      </c>
    </row>
    <row r="95" spans="1:12" x14ac:dyDescent="0.3">
      <c r="A95" s="8" t="s">
        <v>3</v>
      </c>
      <c r="B95" s="8">
        <v>7</v>
      </c>
      <c r="D95">
        <v>1</v>
      </c>
      <c r="E95">
        <v>287.63</v>
      </c>
      <c r="F95">
        <v>0.82045454545454533</v>
      </c>
      <c r="G95" s="16" t="str">
        <f t="shared" si="1"/>
        <v>Excellent</v>
      </c>
      <c r="I95">
        <f>SUMIFS(E95:E109, G95:G109, "Bad")</f>
        <v>0</v>
      </c>
      <c r="J95">
        <f>SUMIFS(E95:E109, G95:G109, "Intermediate")</f>
        <v>1753.71</v>
      </c>
      <c r="K95">
        <f>SUMIFS(E95:E109, G95:G109, "Excellent")</f>
        <v>854.56000000000006</v>
      </c>
    </row>
    <row r="96" spans="1:12" x14ac:dyDescent="0.3">
      <c r="A96" s="8" t="s">
        <v>4</v>
      </c>
      <c r="B96" s="8">
        <v>15</v>
      </c>
      <c r="D96">
        <v>2</v>
      </c>
      <c r="E96">
        <v>182.28</v>
      </c>
      <c r="F96">
        <v>0.7295454545454545</v>
      </c>
      <c r="G96" s="17" t="str">
        <f t="shared" si="1"/>
        <v>Intermediate</v>
      </c>
      <c r="I96" s="21">
        <f>I95/(I95+J95+K95)</f>
        <v>0</v>
      </c>
      <c r="J96" s="21">
        <f>J95/(J95+I95+K95)</f>
        <v>0.67236520758970508</v>
      </c>
      <c r="K96" s="21">
        <f>K95/(K95+J95+I95)</f>
        <v>0.32763479241029497</v>
      </c>
      <c r="L96" s="4" t="s">
        <v>19</v>
      </c>
    </row>
    <row r="97" spans="1:11" x14ac:dyDescent="0.3">
      <c r="A97" s="8" t="s">
        <v>5</v>
      </c>
      <c r="B97" s="8" t="s">
        <v>6</v>
      </c>
      <c r="D97">
        <v>3</v>
      </c>
      <c r="E97">
        <v>177.87</v>
      </c>
      <c r="F97">
        <v>0.62954545454545441</v>
      </c>
      <c r="G97" s="17" t="str">
        <f t="shared" si="1"/>
        <v>Intermediate</v>
      </c>
    </row>
    <row r="98" spans="1:11" x14ac:dyDescent="0.3">
      <c r="D98">
        <v>4</v>
      </c>
      <c r="E98">
        <v>94.570000000000007</v>
      </c>
      <c r="F98">
        <v>0.68409090909090908</v>
      </c>
      <c r="G98" s="17" t="str">
        <f t="shared" si="1"/>
        <v>Intermediate</v>
      </c>
    </row>
    <row r="99" spans="1:11" x14ac:dyDescent="0.3">
      <c r="D99">
        <v>5</v>
      </c>
      <c r="E99">
        <v>32.340000000000003</v>
      </c>
      <c r="F99">
        <v>0.67272727272727273</v>
      </c>
      <c r="G99" s="17" t="str">
        <f t="shared" si="1"/>
        <v>Intermediate</v>
      </c>
    </row>
    <row r="100" spans="1:11" x14ac:dyDescent="0.3">
      <c r="D100">
        <v>6</v>
      </c>
      <c r="E100">
        <v>181.3</v>
      </c>
      <c r="F100">
        <v>0.77499999999999991</v>
      </c>
      <c r="G100" s="16" t="str">
        <f t="shared" si="1"/>
        <v>Excellent</v>
      </c>
    </row>
    <row r="101" spans="1:11" x14ac:dyDescent="0.3">
      <c r="D101">
        <v>7</v>
      </c>
      <c r="E101">
        <v>220.01</v>
      </c>
      <c r="F101">
        <v>0.65</v>
      </c>
      <c r="G101" s="17" t="str">
        <f t="shared" si="1"/>
        <v>Intermediate</v>
      </c>
    </row>
    <row r="102" spans="1:11" x14ac:dyDescent="0.3">
      <c r="D102">
        <v>8</v>
      </c>
      <c r="E102">
        <v>249.9</v>
      </c>
      <c r="F102">
        <v>0.7522727272727272</v>
      </c>
      <c r="G102" s="16" t="str">
        <f t="shared" si="1"/>
        <v>Excellent</v>
      </c>
    </row>
    <row r="103" spans="1:11" x14ac:dyDescent="0.3">
      <c r="D103">
        <v>9</v>
      </c>
      <c r="E103">
        <v>196.98</v>
      </c>
      <c r="F103">
        <v>0.70909090909090899</v>
      </c>
      <c r="G103" s="17" t="str">
        <f t="shared" si="1"/>
        <v>Intermediate</v>
      </c>
    </row>
    <row r="104" spans="1:11" x14ac:dyDescent="0.3">
      <c r="D104">
        <v>10</v>
      </c>
      <c r="E104">
        <v>157.29</v>
      </c>
      <c r="F104">
        <v>0.45</v>
      </c>
      <c r="G104" s="17" t="str">
        <f t="shared" si="1"/>
        <v>Intermediate</v>
      </c>
    </row>
    <row r="105" spans="1:11" x14ac:dyDescent="0.3">
      <c r="D105">
        <v>11</v>
      </c>
      <c r="E105">
        <v>234.71</v>
      </c>
      <c r="F105">
        <v>0.61818181818181817</v>
      </c>
      <c r="G105" s="17" t="str">
        <f t="shared" si="1"/>
        <v>Intermediate</v>
      </c>
    </row>
    <row r="106" spans="1:11" x14ac:dyDescent="0.3">
      <c r="D106">
        <v>12</v>
      </c>
      <c r="E106">
        <v>262.64</v>
      </c>
      <c r="F106">
        <v>0.61363636363636365</v>
      </c>
      <c r="G106" s="17" t="str">
        <f t="shared" si="1"/>
        <v>Intermediate</v>
      </c>
    </row>
    <row r="107" spans="1:11" x14ac:dyDescent="0.3">
      <c r="D107">
        <v>13</v>
      </c>
      <c r="E107">
        <v>135.72999999999999</v>
      </c>
      <c r="F107">
        <v>0.76590909090909087</v>
      </c>
      <c r="G107" s="16" t="str">
        <f t="shared" si="1"/>
        <v>Excellent</v>
      </c>
    </row>
    <row r="108" spans="1:11" x14ac:dyDescent="0.3">
      <c r="D108">
        <v>14</v>
      </c>
      <c r="E108">
        <v>113.68</v>
      </c>
      <c r="F108">
        <v>0.64090909090909087</v>
      </c>
      <c r="G108" s="17" t="str">
        <f t="shared" si="1"/>
        <v>Intermediate</v>
      </c>
    </row>
    <row r="109" spans="1:11" x14ac:dyDescent="0.3">
      <c r="D109">
        <v>15</v>
      </c>
      <c r="E109">
        <v>81.34</v>
      </c>
      <c r="F109">
        <v>0.66363636363636358</v>
      </c>
      <c r="G109" s="17" t="str">
        <f t="shared" si="1"/>
        <v>Intermediate</v>
      </c>
    </row>
    <row r="110" spans="1:11" x14ac:dyDescent="0.3">
      <c r="A110" s="5"/>
      <c r="B110" s="5"/>
      <c r="C110" s="5"/>
      <c r="D110" s="5"/>
      <c r="I110" s="22" t="s">
        <v>25</v>
      </c>
      <c r="J110" s="22"/>
      <c r="K110" s="22"/>
    </row>
    <row r="111" spans="1:11" x14ac:dyDescent="0.3">
      <c r="A111" s="4" t="s">
        <v>0</v>
      </c>
      <c r="B111" s="4">
        <v>10</v>
      </c>
      <c r="D111" s="6" t="s">
        <v>1</v>
      </c>
      <c r="E111" s="8" t="s">
        <v>24</v>
      </c>
      <c r="I111" s="18" t="s">
        <v>16</v>
      </c>
      <c r="J111" s="19" t="s">
        <v>17</v>
      </c>
      <c r="K111" s="20" t="s">
        <v>18</v>
      </c>
    </row>
    <row r="112" spans="1:11" x14ac:dyDescent="0.3">
      <c r="A112" s="8" t="s">
        <v>3</v>
      </c>
      <c r="B112" s="8">
        <v>7</v>
      </c>
      <c r="D112">
        <v>1</v>
      </c>
      <c r="E112">
        <v>1134.3499999999999</v>
      </c>
      <c r="F112">
        <v>0.37954545454545452</v>
      </c>
      <c r="G112" s="17" t="str">
        <f t="shared" si="1"/>
        <v>Intermediate</v>
      </c>
      <c r="I112">
        <f>SUMIFS(E112:E116, G112:G116, "Bad")</f>
        <v>0</v>
      </c>
      <c r="J112">
        <f>SUMIFS(E112:E116, G112:G116, "Intermediate")</f>
        <v>2608.27</v>
      </c>
      <c r="K112">
        <f>SUMIFS(E112:E116, G112:G116, "Excellent")</f>
        <v>0</v>
      </c>
    </row>
    <row r="113" spans="1:12" x14ac:dyDescent="0.3">
      <c r="A113" s="8" t="s">
        <v>4</v>
      </c>
      <c r="B113" s="8">
        <v>5</v>
      </c>
      <c r="D113">
        <v>2</v>
      </c>
      <c r="E113">
        <v>734.51</v>
      </c>
      <c r="F113">
        <v>0.47045454545454546</v>
      </c>
      <c r="G113" s="17" t="str">
        <f t="shared" si="1"/>
        <v>Intermediate</v>
      </c>
      <c r="I113" s="21">
        <f>I112/(I112+J112+K112)</f>
        <v>0</v>
      </c>
      <c r="J113" s="21">
        <f>J112/(J112+I112+K112)</f>
        <v>1</v>
      </c>
      <c r="K113" s="21">
        <f>K112/(K112+J112+I112)</f>
        <v>0</v>
      </c>
      <c r="L113" s="4" t="s">
        <v>19</v>
      </c>
    </row>
    <row r="114" spans="1:12" x14ac:dyDescent="0.3">
      <c r="A114" s="8" t="s">
        <v>5</v>
      </c>
      <c r="B114" s="8" t="s">
        <v>7</v>
      </c>
      <c r="D114">
        <v>3</v>
      </c>
      <c r="E114">
        <v>286.16000000000003</v>
      </c>
      <c r="F114">
        <v>0.52727272727272723</v>
      </c>
      <c r="G114" s="17" t="str">
        <f t="shared" si="1"/>
        <v>Intermediate</v>
      </c>
    </row>
    <row r="115" spans="1:12" x14ac:dyDescent="0.3">
      <c r="D115">
        <v>4</v>
      </c>
      <c r="E115">
        <v>441.98</v>
      </c>
      <c r="F115">
        <v>0.4</v>
      </c>
      <c r="G115" s="17" t="str">
        <f t="shared" si="1"/>
        <v>Intermediate</v>
      </c>
    </row>
    <row r="116" spans="1:12" x14ac:dyDescent="0.3">
      <c r="D116">
        <v>5</v>
      </c>
      <c r="E116">
        <v>11.27</v>
      </c>
      <c r="F116">
        <v>0.31590909090909092</v>
      </c>
      <c r="G116" s="17" t="str">
        <f t="shared" si="1"/>
        <v>Intermediate</v>
      </c>
    </row>
    <row r="117" spans="1:12" x14ac:dyDescent="0.3">
      <c r="A117" s="5"/>
      <c r="B117" s="5"/>
      <c r="C117" s="5"/>
      <c r="D117" s="5"/>
      <c r="I117" s="22" t="s">
        <v>25</v>
      </c>
      <c r="J117" s="22"/>
      <c r="K117" s="22"/>
    </row>
    <row r="118" spans="1:12" x14ac:dyDescent="0.3">
      <c r="A118" s="4" t="s">
        <v>0</v>
      </c>
      <c r="B118" s="4">
        <v>11</v>
      </c>
      <c r="D118" s="6" t="s">
        <v>1</v>
      </c>
      <c r="E118" s="8" t="s">
        <v>24</v>
      </c>
      <c r="I118" s="18" t="s">
        <v>16</v>
      </c>
      <c r="J118" s="19" t="s">
        <v>17</v>
      </c>
      <c r="K118" s="20" t="s">
        <v>18</v>
      </c>
    </row>
    <row r="119" spans="1:12" x14ac:dyDescent="0.3">
      <c r="A119" s="8" t="s">
        <v>3</v>
      </c>
      <c r="B119" s="8">
        <v>7</v>
      </c>
      <c r="D119">
        <v>1</v>
      </c>
      <c r="E119">
        <v>862.89</v>
      </c>
      <c r="F119">
        <v>0.6045454545454545</v>
      </c>
      <c r="G119" s="17" t="str">
        <f t="shared" si="1"/>
        <v>Intermediate</v>
      </c>
      <c r="I119">
        <f>SUMIFS(E119:E128, G119:G128, "Bad")</f>
        <v>0</v>
      </c>
      <c r="J119">
        <f>SUMIFS(E119:E128, G119:G128, "Intermediate")</f>
        <v>2608.27</v>
      </c>
      <c r="K119">
        <f>SUMIFS(E119:E128, G119:G128, "Excellent")</f>
        <v>0</v>
      </c>
    </row>
    <row r="120" spans="1:12" x14ac:dyDescent="0.3">
      <c r="A120" s="8" t="s">
        <v>4</v>
      </c>
      <c r="B120" s="8">
        <v>10</v>
      </c>
      <c r="D120">
        <v>2</v>
      </c>
      <c r="E120">
        <v>734.51</v>
      </c>
      <c r="F120">
        <v>0.59545454545454546</v>
      </c>
      <c r="G120" s="17" t="str">
        <f t="shared" si="1"/>
        <v>Intermediate</v>
      </c>
      <c r="I120" s="21">
        <f>I119/(I119+J119+K119)</f>
        <v>0</v>
      </c>
      <c r="J120" s="21">
        <f>J119/(J119+I119+K119)</f>
        <v>1</v>
      </c>
      <c r="K120" s="21">
        <f>K119/(K119+J119+I119)</f>
        <v>0</v>
      </c>
      <c r="L120" s="4" t="s">
        <v>19</v>
      </c>
    </row>
    <row r="121" spans="1:12" x14ac:dyDescent="0.3">
      <c r="A121" s="8" t="s">
        <v>5</v>
      </c>
      <c r="B121" s="8" t="s">
        <v>7</v>
      </c>
      <c r="D121">
        <v>3</v>
      </c>
      <c r="E121">
        <v>286.16000000000003</v>
      </c>
      <c r="F121">
        <v>0.53863636363636358</v>
      </c>
      <c r="G121" s="17" t="str">
        <f t="shared" si="1"/>
        <v>Intermediate</v>
      </c>
    </row>
    <row r="122" spans="1:12" x14ac:dyDescent="0.3">
      <c r="D122">
        <v>4</v>
      </c>
      <c r="E122">
        <v>207.76</v>
      </c>
      <c r="F122">
        <v>0.26818181818181819</v>
      </c>
      <c r="G122" s="17" t="str">
        <f t="shared" si="1"/>
        <v>Intermediate</v>
      </c>
    </row>
    <row r="123" spans="1:12" x14ac:dyDescent="0.3">
      <c r="D123">
        <v>5</v>
      </c>
      <c r="E123">
        <v>116.62</v>
      </c>
      <c r="F123">
        <v>0.59545454545454546</v>
      </c>
      <c r="G123" s="17" t="str">
        <f t="shared" si="1"/>
        <v>Intermediate</v>
      </c>
    </row>
    <row r="124" spans="1:12" x14ac:dyDescent="0.3">
      <c r="D124">
        <v>6</v>
      </c>
      <c r="E124">
        <v>302.82</v>
      </c>
      <c r="F124">
        <v>0.57045454545454544</v>
      </c>
      <c r="G124" s="17" t="str">
        <f t="shared" si="1"/>
        <v>Intermediate</v>
      </c>
    </row>
    <row r="125" spans="1:12" x14ac:dyDescent="0.3">
      <c r="D125">
        <v>7</v>
      </c>
      <c r="E125">
        <v>38.22</v>
      </c>
      <c r="F125">
        <v>0.61818181818181817</v>
      </c>
      <c r="G125" s="17" t="str">
        <f t="shared" si="1"/>
        <v>Intermediate</v>
      </c>
    </row>
    <row r="126" spans="1:12" x14ac:dyDescent="0.3">
      <c r="D126">
        <v>8</v>
      </c>
      <c r="E126">
        <v>25.48</v>
      </c>
      <c r="F126">
        <v>0.69545454545454544</v>
      </c>
      <c r="G126" s="17" t="str">
        <f t="shared" si="1"/>
        <v>Intermediate</v>
      </c>
    </row>
    <row r="127" spans="1:12" x14ac:dyDescent="0.3">
      <c r="D127">
        <v>9</v>
      </c>
      <c r="E127">
        <v>22.54</v>
      </c>
      <c r="F127">
        <v>0.6045454545454545</v>
      </c>
      <c r="G127" s="17" t="str">
        <f t="shared" si="1"/>
        <v>Intermediate</v>
      </c>
    </row>
    <row r="128" spans="1:12" x14ac:dyDescent="0.3">
      <c r="D128">
        <v>10</v>
      </c>
      <c r="E128">
        <v>11.27</v>
      </c>
      <c r="F128">
        <v>0.46136363636363631</v>
      </c>
      <c r="G128" s="17" t="str">
        <f t="shared" si="1"/>
        <v>Intermediate</v>
      </c>
    </row>
    <row r="129" spans="1:12" x14ac:dyDescent="0.3">
      <c r="A129" s="5"/>
      <c r="B129" s="5"/>
      <c r="C129" s="5"/>
      <c r="D129" s="5"/>
      <c r="I129" s="22" t="s">
        <v>25</v>
      </c>
      <c r="J129" s="22"/>
      <c r="K129" s="22"/>
    </row>
    <row r="130" spans="1:12" x14ac:dyDescent="0.3">
      <c r="A130" s="4" t="s">
        <v>0</v>
      </c>
      <c r="B130" s="4">
        <v>12</v>
      </c>
      <c r="D130" s="6" t="s">
        <v>1</v>
      </c>
      <c r="E130" s="8" t="s">
        <v>24</v>
      </c>
      <c r="I130" s="18" t="s">
        <v>16</v>
      </c>
      <c r="J130" s="19" t="s">
        <v>17</v>
      </c>
      <c r="K130" s="20" t="s">
        <v>18</v>
      </c>
    </row>
    <row r="131" spans="1:12" x14ac:dyDescent="0.3">
      <c r="A131" s="8" t="s">
        <v>3</v>
      </c>
      <c r="B131" s="8">
        <v>7</v>
      </c>
      <c r="D131">
        <v>1</v>
      </c>
      <c r="E131">
        <v>862.89</v>
      </c>
      <c r="F131">
        <v>0.52727272727272723</v>
      </c>
      <c r="G131" s="17" t="str">
        <f t="shared" si="1"/>
        <v>Intermediate</v>
      </c>
      <c r="I131">
        <f>SUMIFS(E131:E145, G131:G145, "Bad")</f>
        <v>0</v>
      </c>
      <c r="J131">
        <f>SUMIFS(E131:E145, G131:G145, "Intermediate")</f>
        <v>2199.12</v>
      </c>
      <c r="K131">
        <f>SUMIFS(E131:E145, G131:G145, "Excellent")</f>
        <v>409.15</v>
      </c>
    </row>
    <row r="132" spans="1:12" x14ac:dyDescent="0.3">
      <c r="A132" s="8" t="s">
        <v>4</v>
      </c>
      <c r="B132" s="8">
        <v>15</v>
      </c>
      <c r="D132">
        <v>2</v>
      </c>
      <c r="E132">
        <v>733.53</v>
      </c>
      <c r="F132">
        <v>0.52727272727272723</v>
      </c>
      <c r="G132" s="17" t="str">
        <f t="shared" si="1"/>
        <v>Intermediate</v>
      </c>
      <c r="I132" s="21">
        <f>I131/(I131+J131+K131)</f>
        <v>0</v>
      </c>
      <c r="J132" s="21">
        <f>J131/(J131+I131+K131)</f>
        <v>0.84313357129438282</v>
      </c>
      <c r="K132" s="21">
        <f>K131/(K131+J131+I131)</f>
        <v>0.15686642870561712</v>
      </c>
      <c r="L132" s="4" t="s">
        <v>19</v>
      </c>
    </row>
    <row r="133" spans="1:12" x14ac:dyDescent="0.3">
      <c r="A133" s="8" t="s">
        <v>5</v>
      </c>
      <c r="B133" s="8" t="s">
        <v>7</v>
      </c>
      <c r="D133">
        <v>3</v>
      </c>
      <c r="E133">
        <v>164.64</v>
      </c>
      <c r="F133">
        <v>0.68409090909090908</v>
      </c>
      <c r="G133" s="17" t="str">
        <f t="shared" ref="G133:G196" si="2">IF(F133&lt;0.25, "Bad", IF(F133&lt;=0.75, "Intermediate", "Excellent"))</f>
        <v>Intermediate</v>
      </c>
    </row>
    <row r="134" spans="1:12" x14ac:dyDescent="0.3">
      <c r="D134">
        <v>4</v>
      </c>
      <c r="E134">
        <v>13.72</v>
      </c>
      <c r="F134">
        <v>0.84318181818181814</v>
      </c>
      <c r="G134" s="16" t="str">
        <f t="shared" si="2"/>
        <v>Excellent</v>
      </c>
    </row>
    <row r="135" spans="1:12" x14ac:dyDescent="0.3">
      <c r="D135">
        <v>5</v>
      </c>
      <c r="E135">
        <v>105.84</v>
      </c>
      <c r="F135">
        <v>0.86590909090909096</v>
      </c>
      <c r="G135" s="16" t="str">
        <f t="shared" si="2"/>
        <v>Excellent</v>
      </c>
    </row>
    <row r="136" spans="1:12" x14ac:dyDescent="0.3">
      <c r="D136">
        <v>6</v>
      </c>
      <c r="E136">
        <v>116.62</v>
      </c>
      <c r="F136">
        <v>0.86590909090909096</v>
      </c>
      <c r="G136" s="16" t="str">
        <f t="shared" si="2"/>
        <v>Excellent</v>
      </c>
    </row>
    <row r="137" spans="1:12" x14ac:dyDescent="0.3">
      <c r="D137">
        <v>7</v>
      </c>
      <c r="E137">
        <v>302.82</v>
      </c>
      <c r="F137">
        <v>0.67272727272727273</v>
      </c>
      <c r="G137" s="17" t="str">
        <f t="shared" si="2"/>
        <v>Intermediate</v>
      </c>
    </row>
    <row r="138" spans="1:12" x14ac:dyDescent="0.3">
      <c r="D138">
        <v>8</v>
      </c>
      <c r="E138">
        <v>46.55</v>
      </c>
      <c r="F138">
        <v>0.82045454545454533</v>
      </c>
      <c r="G138" s="16" t="str">
        <f t="shared" si="2"/>
        <v>Excellent</v>
      </c>
    </row>
    <row r="139" spans="1:12" x14ac:dyDescent="0.3">
      <c r="D139">
        <v>9</v>
      </c>
      <c r="E139">
        <v>88.2</v>
      </c>
      <c r="F139">
        <v>0.76363636363636367</v>
      </c>
      <c r="G139" s="16" t="str">
        <f t="shared" si="2"/>
        <v>Excellent</v>
      </c>
    </row>
    <row r="140" spans="1:12" x14ac:dyDescent="0.3">
      <c r="D140">
        <v>10</v>
      </c>
      <c r="E140">
        <v>74.97</v>
      </c>
      <c r="F140">
        <v>0.66363636363636358</v>
      </c>
      <c r="G140" s="17" t="str">
        <f t="shared" si="2"/>
        <v>Intermediate</v>
      </c>
    </row>
    <row r="141" spans="1:12" x14ac:dyDescent="0.3">
      <c r="D141">
        <v>11</v>
      </c>
      <c r="E141">
        <v>38.22</v>
      </c>
      <c r="F141">
        <v>0.83181818181818179</v>
      </c>
      <c r="G141" s="16" t="str">
        <f t="shared" si="2"/>
        <v>Excellent</v>
      </c>
    </row>
    <row r="142" spans="1:12" x14ac:dyDescent="0.3">
      <c r="D142">
        <v>12</v>
      </c>
      <c r="E142">
        <v>25.48</v>
      </c>
      <c r="F142">
        <v>0.69545454545454544</v>
      </c>
      <c r="G142" s="17" t="str">
        <f t="shared" si="2"/>
        <v>Intermediate</v>
      </c>
    </row>
    <row r="143" spans="1:12" x14ac:dyDescent="0.3">
      <c r="D143">
        <v>13</v>
      </c>
      <c r="E143">
        <v>22.54</v>
      </c>
      <c r="F143">
        <v>0.71818181818181825</v>
      </c>
      <c r="G143" s="17" t="str">
        <f t="shared" si="2"/>
        <v>Intermediate</v>
      </c>
    </row>
    <row r="144" spans="1:12" x14ac:dyDescent="0.3">
      <c r="D144">
        <v>14</v>
      </c>
      <c r="E144">
        <v>11.27</v>
      </c>
      <c r="F144">
        <v>0.68636363636363629</v>
      </c>
      <c r="G144" s="17" t="str">
        <f t="shared" si="2"/>
        <v>Intermediate</v>
      </c>
    </row>
    <row r="145" spans="1:12" x14ac:dyDescent="0.3">
      <c r="D145">
        <v>15</v>
      </c>
      <c r="E145">
        <v>0.98</v>
      </c>
      <c r="F145">
        <v>0.68863636363636349</v>
      </c>
      <c r="G145" s="17" t="str">
        <f t="shared" si="2"/>
        <v>Intermediate</v>
      </c>
    </row>
    <row r="146" spans="1:12" x14ac:dyDescent="0.3">
      <c r="A146" s="5"/>
      <c r="B146" s="5"/>
      <c r="C146" s="5"/>
      <c r="D146" s="5"/>
      <c r="I146" s="22" t="s">
        <v>25</v>
      </c>
      <c r="J146" s="22"/>
      <c r="K146" s="22"/>
    </row>
    <row r="147" spans="1:12" x14ac:dyDescent="0.3">
      <c r="A147" s="4" t="s">
        <v>0</v>
      </c>
      <c r="B147" s="4">
        <v>13</v>
      </c>
      <c r="D147" s="6" t="s">
        <v>1</v>
      </c>
      <c r="E147" s="8" t="s">
        <v>24</v>
      </c>
      <c r="I147" s="18" t="s">
        <v>16</v>
      </c>
      <c r="J147" s="19" t="s">
        <v>17</v>
      </c>
      <c r="K147" s="20" t="s">
        <v>18</v>
      </c>
    </row>
    <row r="148" spans="1:12" x14ac:dyDescent="0.3">
      <c r="A148" s="8" t="s">
        <v>3</v>
      </c>
      <c r="B148" s="8">
        <v>10</v>
      </c>
      <c r="D148">
        <v>1</v>
      </c>
      <c r="E148">
        <v>404</v>
      </c>
      <c r="F148">
        <v>0.30227272727272725</v>
      </c>
      <c r="G148" s="17" t="str">
        <f t="shared" si="2"/>
        <v>Intermediate</v>
      </c>
      <c r="I148">
        <f>SUMIFS(E148:E152, G148:G152, "Bad")</f>
        <v>0</v>
      </c>
      <c r="J148">
        <f>SUMIFS(E148:E152, G148:G152, "Intermediate")</f>
        <v>2545</v>
      </c>
      <c r="K148">
        <f>SUMIFS(E148:E152, G148:G152, "Excellent")</f>
        <v>0</v>
      </c>
    </row>
    <row r="149" spans="1:12" x14ac:dyDescent="0.3">
      <c r="A149" s="8" t="s">
        <v>4</v>
      </c>
      <c r="B149" s="8">
        <v>5</v>
      </c>
      <c r="D149">
        <v>2</v>
      </c>
      <c r="E149">
        <v>942</v>
      </c>
      <c r="F149">
        <v>0.48181818181818181</v>
      </c>
      <c r="G149" s="17" t="str">
        <f t="shared" si="2"/>
        <v>Intermediate</v>
      </c>
      <c r="I149" s="21">
        <f>I148/(I148+J148+K148)</f>
        <v>0</v>
      </c>
      <c r="J149" s="21">
        <f>J148/(J148+I148+K148)</f>
        <v>1</v>
      </c>
      <c r="K149" s="21">
        <f>K148/(K148+J148+I148)</f>
        <v>0</v>
      </c>
      <c r="L149" s="4" t="s">
        <v>19</v>
      </c>
    </row>
    <row r="150" spans="1:12" x14ac:dyDescent="0.3">
      <c r="A150" s="8" t="s">
        <v>5</v>
      </c>
      <c r="B150" s="8" t="s">
        <v>6</v>
      </c>
      <c r="D150">
        <v>3</v>
      </c>
      <c r="E150">
        <v>460</v>
      </c>
      <c r="F150">
        <v>0.44772727272727275</v>
      </c>
      <c r="G150" s="17" t="str">
        <f t="shared" si="2"/>
        <v>Intermediate</v>
      </c>
    </row>
    <row r="151" spans="1:12" x14ac:dyDescent="0.3">
      <c r="D151">
        <v>4</v>
      </c>
      <c r="E151">
        <v>194</v>
      </c>
      <c r="F151">
        <v>0.55909090909090908</v>
      </c>
      <c r="G151" s="17" t="str">
        <f t="shared" si="2"/>
        <v>Intermediate</v>
      </c>
    </row>
    <row r="152" spans="1:12" x14ac:dyDescent="0.3">
      <c r="D152">
        <v>5</v>
      </c>
      <c r="E152">
        <v>545</v>
      </c>
      <c r="F152">
        <v>0.45909090909090905</v>
      </c>
      <c r="G152" s="17" t="str">
        <f t="shared" si="2"/>
        <v>Intermediate</v>
      </c>
    </row>
    <row r="153" spans="1:12" x14ac:dyDescent="0.3">
      <c r="A153" s="5"/>
      <c r="B153" s="5"/>
      <c r="C153" s="5"/>
      <c r="D153" s="5"/>
      <c r="I153" s="22" t="s">
        <v>15</v>
      </c>
      <c r="J153" s="22"/>
      <c r="K153" s="22"/>
    </row>
    <row r="154" spans="1:12" x14ac:dyDescent="0.3">
      <c r="A154" s="4" t="s">
        <v>0</v>
      </c>
      <c r="B154" s="4">
        <v>14</v>
      </c>
      <c r="D154" s="6" t="s">
        <v>1</v>
      </c>
      <c r="E154" s="8" t="s">
        <v>24</v>
      </c>
      <c r="I154" s="18" t="s">
        <v>16</v>
      </c>
      <c r="J154" s="19" t="s">
        <v>17</v>
      </c>
      <c r="K154" s="20" t="s">
        <v>18</v>
      </c>
    </row>
    <row r="155" spans="1:12" x14ac:dyDescent="0.3">
      <c r="A155" s="8" t="s">
        <v>3</v>
      </c>
      <c r="B155" s="8">
        <v>10</v>
      </c>
      <c r="D155">
        <v>1</v>
      </c>
      <c r="E155">
        <v>232</v>
      </c>
      <c r="F155">
        <v>0.78636363636363638</v>
      </c>
      <c r="G155" s="16" t="str">
        <f t="shared" si="2"/>
        <v>Excellent</v>
      </c>
      <c r="I155">
        <f>SUMIFS(E155:E164, G155:G164, "Bad")</f>
        <v>0</v>
      </c>
      <c r="J155">
        <f>SUMIFS(E155:E164, G155:G164, "Intermediate")</f>
        <v>2153</v>
      </c>
      <c r="K155">
        <f>SUMIFS(E155:E164, G155:G164, "Excellent")</f>
        <v>392</v>
      </c>
    </row>
    <row r="156" spans="1:12" x14ac:dyDescent="0.3">
      <c r="A156" s="8" t="s">
        <v>4</v>
      </c>
      <c r="B156" s="8">
        <v>10</v>
      </c>
      <c r="D156">
        <v>2</v>
      </c>
      <c r="E156">
        <v>349</v>
      </c>
      <c r="F156">
        <v>0.71818181818181825</v>
      </c>
      <c r="G156" s="17" t="str">
        <f t="shared" si="2"/>
        <v>Intermediate</v>
      </c>
      <c r="I156" s="21">
        <f>I155/(I155+J155+K155)</f>
        <v>0</v>
      </c>
      <c r="J156" s="21">
        <f>J155/(J155+I155+K155)</f>
        <v>0.84597249508840866</v>
      </c>
      <c r="K156" s="21">
        <f>K155/(K155+J155+I155)</f>
        <v>0.15402750491159137</v>
      </c>
      <c r="L156" s="4" t="s">
        <v>19</v>
      </c>
    </row>
    <row r="157" spans="1:12" x14ac:dyDescent="0.3">
      <c r="A157" s="8" t="s">
        <v>5</v>
      </c>
      <c r="B157" s="8" t="s">
        <v>6</v>
      </c>
      <c r="D157">
        <v>3</v>
      </c>
      <c r="E157">
        <v>432</v>
      </c>
      <c r="F157">
        <v>0.52727272727272723</v>
      </c>
      <c r="G157" s="17" t="str">
        <f t="shared" si="2"/>
        <v>Intermediate</v>
      </c>
    </row>
    <row r="158" spans="1:12" x14ac:dyDescent="0.3">
      <c r="D158">
        <v>4</v>
      </c>
      <c r="E158">
        <v>172</v>
      </c>
      <c r="F158">
        <v>0.51590909090909087</v>
      </c>
      <c r="G158" s="17" t="str">
        <f t="shared" si="2"/>
        <v>Intermediate</v>
      </c>
    </row>
    <row r="159" spans="1:12" x14ac:dyDescent="0.3">
      <c r="D159">
        <v>5</v>
      </c>
      <c r="E159">
        <v>160</v>
      </c>
      <c r="F159">
        <v>0.83181818181818179</v>
      </c>
      <c r="G159" s="16" t="str">
        <f t="shared" si="2"/>
        <v>Excellent</v>
      </c>
    </row>
    <row r="160" spans="1:12" x14ac:dyDescent="0.3">
      <c r="D160">
        <v>6</v>
      </c>
      <c r="E160">
        <v>300</v>
      </c>
      <c r="F160">
        <v>0.56136363636363629</v>
      </c>
      <c r="G160" s="17" t="str">
        <f t="shared" si="2"/>
        <v>Intermediate</v>
      </c>
    </row>
    <row r="161" spans="1:12" x14ac:dyDescent="0.3">
      <c r="D161">
        <v>7</v>
      </c>
      <c r="E161">
        <v>161</v>
      </c>
      <c r="F161">
        <v>0.69772727272727264</v>
      </c>
      <c r="G161" s="17" t="str">
        <f t="shared" si="2"/>
        <v>Intermediate</v>
      </c>
    </row>
    <row r="162" spans="1:12" x14ac:dyDescent="0.3">
      <c r="D162">
        <v>8</v>
      </c>
      <c r="E162">
        <v>194</v>
      </c>
      <c r="F162">
        <v>0.6272727272727272</v>
      </c>
      <c r="G162" s="17" t="str">
        <f t="shared" si="2"/>
        <v>Intermediate</v>
      </c>
    </row>
    <row r="163" spans="1:12" x14ac:dyDescent="0.3">
      <c r="D163">
        <v>9</v>
      </c>
      <c r="E163">
        <v>357</v>
      </c>
      <c r="F163">
        <v>0.68409090909090908</v>
      </c>
      <c r="G163" s="17" t="str">
        <f t="shared" si="2"/>
        <v>Intermediate</v>
      </c>
    </row>
    <row r="164" spans="1:12" x14ac:dyDescent="0.3">
      <c r="D164">
        <v>10</v>
      </c>
      <c r="E164">
        <v>188</v>
      </c>
      <c r="F164">
        <v>0.36136363636363633</v>
      </c>
      <c r="G164" s="17" t="str">
        <f t="shared" si="2"/>
        <v>Intermediate</v>
      </c>
    </row>
    <row r="165" spans="1:12" x14ac:dyDescent="0.3">
      <c r="A165" s="5"/>
      <c r="B165" s="5"/>
      <c r="C165" s="5"/>
      <c r="D165" s="5"/>
      <c r="I165" s="22" t="s">
        <v>25</v>
      </c>
      <c r="J165" s="22"/>
      <c r="K165" s="22"/>
    </row>
    <row r="166" spans="1:12" x14ac:dyDescent="0.3">
      <c r="A166" s="4" t="s">
        <v>0</v>
      </c>
      <c r="B166" s="4">
        <v>15</v>
      </c>
      <c r="D166" s="6" t="s">
        <v>1</v>
      </c>
      <c r="E166" s="8" t="s">
        <v>24</v>
      </c>
      <c r="I166" s="18" t="s">
        <v>16</v>
      </c>
      <c r="J166" s="19" t="s">
        <v>17</v>
      </c>
      <c r="K166" s="20" t="s">
        <v>18</v>
      </c>
    </row>
    <row r="167" spans="1:12" x14ac:dyDescent="0.3">
      <c r="A167" s="8" t="s">
        <v>3</v>
      </c>
      <c r="B167" s="8">
        <v>10</v>
      </c>
      <c r="D167">
        <v>1</v>
      </c>
      <c r="E167">
        <v>232</v>
      </c>
      <c r="F167">
        <v>0.8545454545454545</v>
      </c>
      <c r="G167" s="16" t="str">
        <f t="shared" si="2"/>
        <v>Excellent</v>
      </c>
      <c r="I167">
        <f>SUMIFS(E167:E181, G167:G181, "Bad")</f>
        <v>0</v>
      </c>
      <c r="J167">
        <f>SUMIFS(E167:E181, G167:G181, "Intermediate")</f>
        <v>2139</v>
      </c>
      <c r="K167">
        <f>SUMIFS(E167:E181, G167:G181, "Excellent")</f>
        <v>406</v>
      </c>
    </row>
    <row r="168" spans="1:12" x14ac:dyDescent="0.3">
      <c r="A168" s="8" t="s">
        <v>4</v>
      </c>
      <c r="B168" s="8">
        <v>15</v>
      </c>
      <c r="D168">
        <v>2</v>
      </c>
      <c r="E168">
        <v>175</v>
      </c>
      <c r="F168">
        <v>0.70681818181818179</v>
      </c>
      <c r="G168" s="17" t="str">
        <f t="shared" si="2"/>
        <v>Intermediate</v>
      </c>
      <c r="I168" s="21">
        <f>I167/(I167+J167+K167)</f>
        <v>0</v>
      </c>
      <c r="J168" s="21">
        <f>J167/(J167+I167+K167)</f>
        <v>0.84047151277013754</v>
      </c>
      <c r="K168" s="21">
        <f>K167/(K167+J167+I167)</f>
        <v>0.15952848722986249</v>
      </c>
      <c r="L168" s="4" t="s">
        <v>19</v>
      </c>
    </row>
    <row r="169" spans="1:12" x14ac:dyDescent="0.3">
      <c r="A169" s="8" t="s">
        <v>5</v>
      </c>
      <c r="B169" s="8" t="s">
        <v>6</v>
      </c>
      <c r="D169">
        <v>3</v>
      </c>
      <c r="E169">
        <v>224</v>
      </c>
      <c r="F169">
        <v>0.74318181818181817</v>
      </c>
      <c r="G169" s="17" t="str">
        <f t="shared" si="2"/>
        <v>Intermediate</v>
      </c>
    </row>
    <row r="170" spans="1:12" x14ac:dyDescent="0.3">
      <c r="D170">
        <v>4</v>
      </c>
      <c r="E170">
        <v>60</v>
      </c>
      <c r="F170">
        <v>0.56136363636363629</v>
      </c>
      <c r="G170" s="17" t="str">
        <f t="shared" si="2"/>
        <v>Intermediate</v>
      </c>
    </row>
    <row r="171" spans="1:12" x14ac:dyDescent="0.3">
      <c r="D171">
        <v>5</v>
      </c>
      <c r="E171">
        <v>160</v>
      </c>
      <c r="F171">
        <v>0.68636363636363629</v>
      </c>
      <c r="G171" s="17" t="str">
        <f t="shared" si="2"/>
        <v>Intermediate</v>
      </c>
    </row>
    <row r="172" spans="1:12" x14ac:dyDescent="0.3">
      <c r="D172">
        <v>6</v>
      </c>
      <c r="E172">
        <v>209</v>
      </c>
      <c r="F172">
        <v>0.49318181818181817</v>
      </c>
      <c r="G172" s="17" t="str">
        <f t="shared" si="2"/>
        <v>Intermediate</v>
      </c>
    </row>
    <row r="173" spans="1:12" x14ac:dyDescent="0.3">
      <c r="D173">
        <v>7</v>
      </c>
      <c r="E173">
        <v>174</v>
      </c>
      <c r="F173">
        <v>0.76363636363636367</v>
      </c>
      <c r="G173" s="16" t="str">
        <f t="shared" si="2"/>
        <v>Excellent</v>
      </c>
    </row>
    <row r="174" spans="1:12" x14ac:dyDescent="0.3">
      <c r="D174">
        <v>8</v>
      </c>
      <c r="E174">
        <v>161</v>
      </c>
      <c r="F174">
        <v>0.6068181818181817</v>
      </c>
      <c r="G174" s="17" t="str">
        <f t="shared" si="2"/>
        <v>Intermediate</v>
      </c>
    </row>
    <row r="175" spans="1:12" x14ac:dyDescent="0.3">
      <c r="D175">
        <v>9</v>
      </c>
      <c r="E175">
        <v>208</v>
      </c>
      <c r="F175">
        <v>0.53863636363636358</v>
      </c>
      <c r="G175" s="17" t="str">
        <f t="shared" si="2"/>
        <v>Intermediate</v>
      </c>
    </row>
    <row r="176" spans="1:12" x14ac:dyDescent="0.3">
      <c r="D176">
        <v>10</v>
      </c>
      <c r="E176">
        <v>194</v>
      </c>
      <c r="F176">
        <v>0.63636363636363635</v>
      </c>
      <c r="G176" s="17" t="str">
        <f t="shared" si="2"/>
        <v>Intermediate</v>
      </c>
    </row>
    <row r="177" spans="1:12" x14ac:dyDescent="0.3">
      <c r="D177">
        <v>11</v>
      </c>
      <c r="E177">
        <v>131</v>
      </c>
      <c r="F177">
        <v>0.6068181818181817</v>
      </c>
      <c r="G177" s="17" t="str">
        <f t="shared" si="2"/>
        <v>Intermediate</v>
      </c>
    </row>
    <row r="178" spans="1:12" x14ac:dyDescent="0.3">
      <c r="D178">
        <v>12</v>
      </c>
      <c r="E178">
        <v>226</v>
      </c>
      <c r="F178">
        <v>0.57272727272727275</v>
      </c>
      <c r="G178" s="17" t="str">
        <f t="shared" si="2"/>
        <v>Intermediate</v>
      </c>
    </row>
    <row r="179" spans="1:12" x14ac:dyDescent="0.3">
      <c r="D179">
        <v>13</v>
      </c>
      <c r="E179">
        <v>188</v>
      </c>
      <c r="F179">
        <v>0.39318181818181819</v>
      </c>
      <c r="G179" s="17" t="str">
        <f t="shared" si="2"/>
        <v>Intermediate</v>
      </c>
    </row>
    <row r="180" spans="1:12" x14ac:dyDescent="0.3">
      <c r="D180">
        <v>14</v>
      </c>
      <c r="E180">
        <v>91</v>
      </c>
      <c r="F180">
        <v>0.46136363636363631</v>
      </c>
      <c r="G180" s="17" t="str">
        <f t="shared" si="2"/>
        <v>Intermediate</v>
      </c>
    </row>
    <row r="181" spans="1:12" x14ac:dyDescent="0.3">
      <c r="D181">
        <v>15</v>
      </c>
      <c r="E181">
        <v>112</v>
      </c>
      <c r="F181">
        <v>0.54090909090909089</v>
      </c>
      <c r="G181" s="17" t="str">
        <f t="shared" si="2"/>
        <v>Intermediate</v>
      </c>
    </row>
    <row r="182" spans="1:12" x14ac:dyDescent="0.3">
      <c r="A182" s="5"/>
      <c r="B182" s="5"/>
      <c r="C182" s="5"/>
      <c r="D182" s="5"/>
      <c r="I182" s="22" t="s">
        <v>25</v>
      </c>
      <c r="J182" s="22"/>
      <c r="K182" s="22"/>
    </row>
    <row r="183" spans="1:12" x14ac:dyDescent="0.3">
      <c r="A183" s="4" t="s">
        <v>0</v>
      </c>
      <c r="B183" s="4">
        <v>16</v>
      </c>
      <c r="D183" s="6" t="s">
        <v>1</v>
      </c>
      <c r="E183" s="8" t="s">
        <v>24</v>
      </c>
      <c r="I183" s="18" t="s">
        <v>16</v>
      </c>
      <c r="J183" s="19" t="s">
        <v>17</v>
      </c>
      <c r="K183" s="20" t="s">
        <v>18</v>
      </c>
    </row>
    <row r="184" spans="1:12" x14ac:dyDescent="0.3">
      <c r="A184" s="8" t="s">
        <v>3</v>
      </c>
      <c r="B184" s="8">
        <v>10</v>
      </c>
      <c r="D184">
        <v>1</v>
      </c>
      <c r="E184">
        <v>722</v>
      </c>
      <c r="F184">
        <v>0.34545454545454546</v>
      </c>
      <c r="G184" s="17" t="str">
        <f t="shared" si="2"/>
        <v>Intermediate</v>
      </c>
      <c r="I184">
        <f>SUMIFS(E184:E188, G184:G188, "Bad")</f>
        <v>0</v>
      </c>
      <c r="J184">
        <f>SUMIFS(E184:E188, G184:G188, "Intermediate")</f>
        <v>2545</v>
      </c>
      <c r="K184">
        <f>SUMIFS(E184:E188, G184:G188, "Excellent")</f>
        <v>0</v>
      </c>
    </row>
    <row r="185" spans="1:12" x14ac:dyDescent="0.3">
      <c r="A185" s="8" t="s">
        <v>4</v>
      </c>
      <c r="B185" s="8">
        <v>5</v>
      </c>
      <c r="D185">
        <v>2</v>
      </c>
      <c r="E185">
        <v>1390</v>
      </c>
      <c r="F185">
        <v>0.35681818181818181</v>
      </c>
      <c r="G185" s="17" t="str">
        <f t="shared" si="2"/>
        <v>Intermediate</v>
      </c>
      <c r="I185" s="21">
        <f>I184/(I184+J184+K184)</f>
        <v>0</v>
      </c>
      <c r="J185" s="21">
        <f>J184/(J184+I184+K184)</f>
        <v>1</v>
      </c>
      <c r="K185" s="21">
        <f>K184/(K184+J184+I184)</f>
        <v>0</v>
      </c>
      <c r="L185" s="4" t="s">
        <v>19</v>
      </c>
    </row>
    <row r="186" spans="1:12" x14ac:dyDescent="0.3">
      <c r="A186" s="8" t="s">
        <v>5</v>
      </c>
      <c r="B186" s="8" t="s">
        <v>7</v>
      </c>
      <c r="D186">
        <v>3</v>
      </c>
      <c r="E186">
        <v>175</v>
      </c>
      <c r="F186">
        <v>0.55000000000000004</v>
      </c>
      <c r="G186" s="17" t="str">
        <f t="shared" si="2"/>
        <v>Intermediate</v>
      </c>
    </row>
    <row r="187" spans="1:12" x14ac:dyDescent="0.3">
      <c r="D187">
        <v>4</v>
      </c>
      <c r="E187">
        <v>228</v>
      </c>
      <c r="F187">
        <v>0.63636363636363635</v>
      </c>
      <c r="G187" s="17" t="str">
        <f t="shared" si="2"/>
        <v>Intermediate</v>
      </c>
    </row>
    <row r="188" spans="1:12" x14ac:dyDescent="0.3">
      <c r="D188">
        <v>5</v>
      </c>
      <c r="E188">
        <v>30</v>
      </c>
      <c r="F188">
        <v>0.65</v>
      </c>
      <c r="G188" s="17" t="str">
        <f t="shared" si="2"/>
        <v>Intermediate</v>
      </c>
    </row>
    <row r="189" spans="1:12" x14ac:dyDescent="0.3">
      <c r="A189" s="5"/>
      <c r="B189" s="5"/>
      <c r="C189" s="5"/>
      <c r="D189" s="5"/>
      <c r="I189" s="22" t="s">
        <v>25</v>
      </c>
      <c r="J189" s="22"/>
      <c r="K189" s="22"/>
    </row>
    <row r="190" spans="1:12" x14ac:dyDescent="0.3">
      <c r="A190" s="4" t="s">
        <v>0</v>
      </c>
      <c r="B190" s="4">
        <v>17</v>
      </c>
      <c r="D190" s="6" t="s">
        <v>1</v>
      </c>
      <c r="E190" s="8" t="s">
        <v>24</v>
      </c>
      <c r="I190" s="18" t="s">
        <v>16</v>
      </c>
      <c r="J190" s="19" t="s">
        <v>17</v>
      </c>
      <c r="K190" s="20" t="s">
        <v>18</v>
      </c>
    </row>
    <row r="191" spans="1:12" x14ac:dyDescent="0.3">
      <c r="A191" s="8" t="s">
        <v>3</v>
      </c>
      <c r="B191" s="8">
        <v>10</v>
      </c>
      <c r="D191">
        <v>1</v>
      </c>
      <c r="E191">
        <v>488</v>
      </c>
      <c r="F191">
        <v>0.44772727272727275</v>
      </c>
      <c r="G191" s="17" t="str">
        <f t="shared" si="2"/>
        <v>Intermediate</v>
      </c>
      <c r="I191">
        <f>SUMIFS(E191:E200, G191:G200, "Bad")</f>
        <v>0</v>
      </c>
      <c r="J191">
        <f>SUMIFS(E191:E200, G191:G200, "Intermediate")</f>
        <v>2456</v>
      </c>
      <c r="K191">
        <f>SUMIFS(E191:E200, G191:G200, "Excellent")</f>
        <v>89</v>
      </c>
    </row>
    <row r="192" spans="1:12" x14ac:dyDescent="0.3">
      <c r="A192" s="8" t="s">
        <v>4</v>
      </c>
      <c r="B192" s="8">
        <v>10</v>
      </c>
      <c r="D192">
        <v>2</v>
      </c>
      <c r="E192">
        <v>1128</v>
      </c>
      <c r="F192">
        <v>0.45909090909090905</v>
      </c>
      <c r="G192" s="17" t="str">
        <f t="shared" si="2"/>
        <v>Intermediate</v>
      </c>
      <c r="I192" s="21">
        <f>I191/(I191+J191+K191)</f>
        <v>0</v>
      </c>
      <c r="J192" s="21">
        <f>J191/(J191+I191+K191)</f>
        <v>0.96502946954813362</v>
      </c>
      <c r="K192" s="21">
        <f>K191/(K191+J191+I191)</f>
        <v>3.4970530451866405E-2</v>
      </c>
      <c r="L192" s="4" t="s">
        <v>19</v>
      </c>
    </row>
    <row r="193" spans="1:12" x14ac:dyDescent="0.3">
      <c r="A193" s="8" t="s">
        <v>5</v>
      </c>
      <c r="B193" s="8" t="s">
        <v>7</v>
      </c>
      <c r="D193">
        <v>3</v>
      </c>
      <c r="E193">
        <v>73</v>
      </c>
      <c r="F193">
        <v>0.37045454545454548</v>
      </c>
      <c r="G193" s="17" t="str">
        <f t="shared" si="2"/>
        <v>Intermediate</v>
      </c>
    </row>
    <row r="194" spans="1:12" x14ac:dyDescent="0.3">
      <c r="D194">
        <v>4</v>
      </c>
      <c r="E194">
        <v>89</v>
      </c>
      <c r="F194">
        <v>0.80909090909090908</v>
      </c>
      <c r="G194" s="16" t="str">
        <f t="shared" si="2"/>
        <v>Excellent</v>
      </c>
    </row>
    <row r="195" spans="1:12" x14ac:dyDescent="0.3">
      <c r="D195">
        <v>5</v>
      </c>
      <c r="E195">
        <v>175</v>
      </c>
      <c r="F195">
        <v>0.52727272727272723</v>
      </c>
      <c r="G195" s="17" t="str">
        <f t="shared" si="2"/>
        <v>Intermediate</v>
      </c>
    </row>
    <row r="196" spans="1:12" x14ac:dyDescent="0.3">
      <c r="D196">
        <v>6</v>
      </c>
      <c r="E196">
        <v>228</v>
      </c>
      <c r="F196">
        <v>0.625</v>
      </c>
      <c r="G196" s="17" t="str">
        <f t="shared" si="2"/>
        <v>Intermediate</v>
      </c>
    </row>
    <row r="197" spans="1:12" x14ac:dyDescent="0.3">
      <c r="D197">
        <v>7</v>
      </c>
      <c r="E197">
        <v>100</v>
      </c>
      <c r="F197">
        <v>0.59545454545454546</v>
      </c>
      <c r="G197" s="17" t="str">
        <f t="shared" ref="G197:G217" si="3">IF(F197&lt;0.25, "Bad", IF(F197&lt;=0.75, "Intermediate", "Excellent"))</f>
        <v>Intermediate</v>
      </c>
    </row>
    <row r="198" spans="1:12" x14ac:dyDescent="0.3">
      <c r="D198">
        <v>8</v>
      </c>
      <c r="E198">
        <v>178</v>
      </c>
      <c r="F198">
        <v>0.61818181818181817</v>
      </c>
      <c r="G198" s="17" t="str">
        <f t="shared" si="3"/>
        <v>Intermediate</v>
      </c>
    </row>
    <row r="199" spans="1:12" x14ac:dyDescent="0.3">
      <c r="D199">
        <v>9</v>
      </c>
      <c r="E199">
        <v>56</v>
      </c>
      <c r="F199">
        <v>0.43409090909090908</v>
      </c>
      <c r="G199" s="17" t="str">
        <f t="shared" si="3"/>
        <v>Intermediate</v>
      </c>
    </row>
    <row r="200" spans="1:12" x14ac:dyDescent="0.3">
      <c r="D200">
        <v>10</v>
      </c>
      <c r="E200">
        <v>30</v>
      </c>
      <c r="F200">
        <v>0.75</v>
      </c>
      <c r="G200" s="17" t="str">
        <f t="shared" si="3"/>
        <v>Intermediate</v>
      </c>
    </row>
    <row r="201" spans="1:12" x14ac:dyDescent="0.3">
      <c r="A201" s="5"/>
      <c r="B201" s="5"/>
      <c r="C201" s="5"/>
      <c r="D201" s="5"/>
      <c r="I201" s="22" t="s">
        <v>25</v>
      </c>
      <c r="J201" s="22"/>
      <c r="K201" s="22"/>
    </row>
    <row r="202" spans="1:12" x14ac:dyDescent="0.3">
      <c r="A202" s="4" t="s">
        <v>0</v>
      </c>
      <c r="B202" s="4">
        <v>18</v>
      </c>
      <c r="D202" s="6" t="s">
        <v>1</v>
      </c>
      <c r="E202" s="8" t="s">
        <v>24</v>
      </c>
      <c r="I202" s="18" t="s">
        <v>16</v>
      </c>
      <c r="J202" s="19" t="s">
        <v>17</v>
      </c>
      <c r="K202" s="20" t="s">
        <v>18</v>
      </c>
    </row>
    <row r="203" spans="1:12" x14ac:dyDescent="0.3">
      <c r="A203" s="8" t="s">
        <v>3</v>
      </c>
      <c r="B203" s="8">
        <v>10</v>
      </c>
      <c r="D203">
        <v>1</v>
      </c>
      <c r="E203">
        <v>237</v>
      </c>
      <c r="F203">
        <v>0.76590909090909087</v>
      </c>
      <c r="G203" s="16" t="str">
        <f t="shared" si="3"/>
        <v>Excellent</v>
      </c>
      <c r="I203">
        <f>SUMIFS(E203:E217, G203:G217, "Bad")</f>
        <v>0</v>
      </c>
      <c r="J203">
        <f>SUMIFS(E203:E217, G203:G217, "Intermediate")</f>
        <v>2308</v>
      </c>
      <c r="K203">
        <f>SUMIFS(E203:E217, G203:G217, "Excellent")</f>
        <v>237</v>
      </c>
    </row>
    <row r="204" spans="1:12" x14ac:dyDescent="0.3">
      <c r="A204" s="8" t="s">
        <v>4</v>
      </c>
      <c r="B204" s="8">
        <v>15</v>
      </c>
      <c r="D204">
        <v>2</v>
      </c>
      <c r="E204">
        <v>334</v>
      </c>
      <c r="F204">
        <v>0.67272727272727273</v>
      </c>
      <c r="G204" s="17" t="str">
        <f t="shared" si="3"/>
        <v>Intermediate</v>
      </c>
      <c r="I204" s="21">
        <f>I203/(I203+J203+K203)</f>
        <v>0</v>
      </c>
      <c r="J204" s="21">
        <f>J203/(J203+I203+K203)</f>
        <v>0.90687622789783895</v>
      </c>
      <c r="K204" s="21">
        <f>K203/(K203+J203+I203)</f>
        <v>9.3123772102161106E-2</v>
      </c>
      <c r="L204" s="4" t="s">
        <v>19</v>
      </c>
    </row>
    <row r="205" spans="1:12" x14ac:dyDescent="0.3">
      <c r="A205" s="8" t="s">
        <v>5</v>
      </c>
      <c r="B205" s="8" t="s">
        <v>7</v>
      </c>
      <c r="D205">
        <v>3</v>
      </c>
      <c r="E205">
        <v>285</v>
      </c>
      <c r="F205">
        <v>0.6045454545454545</v>
      </c>
      <c r="G205" s="17" t="str">
        <f t="shared" si="3"/>
        <v>Intermediate</v>
      </c>
    </row>
    <row r="206" spans="1:12" x14ac:dyDescent="0.3">
      <c r="D206">
        <v>4</v>
      </c>
      <c r="E206">
        <v>271</v>
      </c>
      <c r="F206">
        <v>0.39318181818181819</v>
      </c>
      <c r="G206" s="17" t="str">
        <f t="shared" si="3"/>
        <v>Intermediate</v>
      </c>
    </row>
    <row r="207" spans="1:12" x14ac:dyDescent="0.3">
      <c r="D207">
        <v>5</v>
      </c>
      <c r="E207">
        <v>37</v>
      </c>
      <c r="F207">
        <v>0.42954545454545445</v>
      </c>
      <c r="G207" s="17" t="str">
        <f t="shared" si="3"/>
        <v>Intermediate</v>
      </c>
    </row>
    <row r="208" spans="1:12" x14ac:dyDescent="0.3">
      <c r="D208">
        <v>6</v>
      </c>
      <c r="E208">
        <v>89</v>
      </c>
      <c r="F208">
        <v>0.73181818181818181</v>
      </c>
      <c r="G208" s="17" t="str">
        <f t="shared" si="3"/>
        <v>Intermediate</v>
      </c>
    </row>
    <row r="209" spans="4:7" x14ac:dyDescent="0.3">
      <c r="D209">
        <v>7</v>
      </c>
      <c r="E209">
        <v>238</v>
      </c>
      <c r="F209">
        <v>0.66363636363636358</v>
      </c>
      <c r="G209" s="17" t="str">
        <f t="shared" si="3"/>
        <v>Intermediate</v>
      </c>
    </row>
    <row r="210" spans="4:7" x14ac:dyDescent="0.3">
      <c r="D210">
        <v>8</v>
      </c>
      <c r="E210">
        <v>175</v>
      </c>
      <c r="F210">
        <v>0.50681818181818183</v>
      </c>
      <c r="G210" s="17" t="str">
        <f t="shared" si="3"/>
        <v>Intermediate</v>
      </c>
    </row>
    <row r="211" spans="4:7" x14ac:dyDescent="0.3">
      <c r="D211">
        <v>9</v>
      </c>
      <c r="E211">
        <v>228</v>
      </c>
      <c r="F211">
        <v>0.70454545454545459</v>
      </c>
      <c r="G211" s="17" t="str">
        <f t="shared" si="3"/>
        <v>Intermediate</v>
      </c>
    </row>
    <row r="212" spans="4:7" x14ac:dyDescent="0.3">
      <c r="D212">
        <v>10</v>
      </c>
      <c r="E212">
        <v>251</v>
      </c>
      <c r="F212">
        <v>0.53636363636363638</v>
      </c>
      <c r="G212" s="17" t="str">
        <f t="shared" si="3"/>
        <v>Intermediate</v>
      </c>
    </row>
    <row r="213" spans="4:7" x14ac:dyDescent="0.3">
      <c r="D213">
        <v>11</v>
      </c>
      <c r="E213">
        <v>100</v>
      </c>
      <c r="F213">
        <v>0.50454545454545452</v>
      </c>
      <c r="G213" s="17" t="str">
        <f t="shared" si="3"/>
        <v>Intermediate</v>
      </c>
    </row>
    <row r="214" spans="4:7" x14ac:dyDescent="0.3">
      <c r="D214">
        <v>12</v>
      </c>
      <c r="E214">
        <v>36</v>
      </c>
      <c r="F214">
        <v>0.5636363636363636</v>
      </c>
      <c r="G214" s="17" t="str">
        <f t="shared" si="3"/>
        <v>Intermediate</v>
      </c>
    </row>
    <row r="215" spans="4:7" x14ac:dyDescent="0.3">
      <c r="D215">
        <v>13</v>
      </c>
      <c r="E215">
        <v>178</v>
      </c>
      <c r="F215">
        <v>0.51818181818181819</v>
      </c>
      <c r="G215" s="17" t="str">
        <f t="shared" si="3"/>
        <v>Intermediate</v>
      </c>
    </row>
    <row r="216" spans="4:7" x14ac:dyDescent="0.3">
      <c r="D216">
        <v>14</v>
      </c>
      <c r="E216">
        <v>56</v>
      </c>
      <c r="F216">
        <v>0.36818181818181817</v>
      </c>
      <c r="G216" s="17" t="str">
        <f t="shared" si="3"/>
        <v>Intermediate</v>
      </c>
    </row>
    <row r="217" spans="4:7" x14ac:dyDescent="0.3">
      <c r="D217">
        <v>15</v>
      </c>
      <c r="E217">
        <v>30</v>
      </c>
      <c r="F217">
        <v>0.68409090909090908</v>
      </c>
      <c r="G217" s="17" t="str">
        <f t="shared" si="3"/>
        <v>Intermediate</v>
      </c>
    </row>
  </sheetData>
  <mergeCells count="18">
    <mergeCell ref="I201:K201"/>
    <mergeCell ref="I74:K74"/>
    <mergeCell ref="I81:K81"/>
    <mergeCell ref="I93:K93"/>
    <mergeCell ref="I110:K110"/>
    <mergeCell ref="I117:K117"/>
    <mergeCell ref="I129:K129"/>
    <mergeCell ref="I146:K146"/>
    <mergeCell ref="I153:K153"/>
    <mergeCell ref="I165:K165"/>
    <mergeCell ref="I182:K182"/>
    <mergeCell ref="I189:K189"/>
    <mergeCell ref="I57:K57"/>
    <mergeCell ref="I2:K2"/>
    <mergeCell ref="I9:K9"/>
    <mergeCell ref="I21:K21"/>
    <mergeCell ref="I38:K38"/>
    <mergeCell ref="I45:K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Krishnanunni Thara Suresh Kumar</dc:creator>
  <cp:lastModifiedBy>Krishnanunni Thara Suresh Kumar</cp:lastModifiedBy>
  <dcterms:created xsi:type="dcterms:W3CDTF">2025-07-16T07:23:44Z</dcterms:created>
  <dcterms:modified xsi:type="dcterms:W3CDTF">2025-08-03T15:53:31Z</dcterms:modified>
</cp:coreProperties>
</file>