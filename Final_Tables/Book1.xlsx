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kri\Documents\European Forestry\MASTER_THESIS\Final_Analysis\Final_Tables\"/>
    </mc:Choice>
  </mc:AlternateContent>
  <xr:revisionPtr revIDLastSave="0" documentId="13_ncr:1_{B9E748B9-201D-4E0F-9F64-3747E7A47F14}" xr6:coauthVersionLast="47" xr6:coauthVersionMax="47" xr10:uidLastSave="{00000000-0000-0000-0000-000000000000}"/>
  <bookViews>
    <workbookView xWindow="-28920" yWindow="-120" windowWidth="29040" windowHeight="15720" xr2:uid="{55C9C5B3-042E-44EC-BA83-1D2A286549AF}"/>
  </bookViews>
  <sheets>
    <sheet name="Christoph_sheet" sheetId="11" r:id="rId1"/>
    <sheet name="Output1.1" sheetId="1" r:id="rId2"/>
    <sheet name="Output1.2" sheetId="3" r:id="rId3"/>
    <sheet name="Output1.3" sheetId="4" r:id="rId4"/>
    <sheet name="Output1.4" sheetId="5" r:id="rId5"/>
    <sheet name="Output1.5" sheetId="6" r:id="rId6"/>
    <sheet name="Sorted_Output1.5" sheetId="7" r:id="rId7"/>
    <sheet name="Output1.6" sheetId="8" r:id="rId8"/>
    <sheet name="Sheet1" sheetId="9" r:id="rId9"/>
    <sheet name="Sheet2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8" i="11" l="1"/>
  <c r="E188" i="11"/>
  <c r="F188" i="11"/>
  <c r="G188" i="11"/>
  <c r="H188" i="11"/>
  <c r="I188" i="11"/>
  <c r="C188" i="11"/>
  <c r="D187" i="11"/>
  <c r="E187" i="11"/>
  <c r="F187" i="11"/>
  <c r="G187" i="11"/>
  <c r="H187" i="11"/>
  <c r="I187" i="11"/>
  <c r="C187" i="11"/>
  <c r="D186" i="11"/>
  <c r="E186" i="11"/>
  <c r="F186" i="11"/>
  <c r="G186" i="11"/>
  <c r="H186" i="11"/>
  <c r="I186" i="11"/>
  <c r="C186" i="11"/>
  <c r="D185" i="11"/>
  <c r="E185" i="11"/>
  <c r="F185" i="11"/>
  <c r="G185" i="11"/>
  <c r="H185" i="11"/>
  <c r="I185" i="11"/>
  <c r="C185" i="11"/>
  <c r="D184" i="11"/>
  <c r="E184" i="11"/>
  <c r="F184" i="11"/>
  <c r="G184" i="11"/>
  <c r="H184" i="11"/>
  <c r="I184" i="11"/>
  <c r="C184" i="11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G4" i="10"/>
  <c r="F4" i="10"/>
  <c r="H3" i="10"/>
  <c r="G183" i="9"/>
  <c r="G182" i="9"/>
  <c r="G181" i="9"/>
  <c r="G180" i="9"/>
  <c r="G179" i="9"/>
  <c r="G178" i="9"/>
  <c r="G177" i="9"/>
  <c r="G176" i="9"/>
  <c r="G175" i="9"/>
  <c r="G174" i="9"/>
  <c r="G173" i="9"/>
  <c r="G172" i="9"/>
  <c r="G171" i="9"/>
  <c r="G170" i="9"/>
  <c r="G169" i="9"/>
  <c r="G168" i="9"/>
  <c r="G167" i="9"/>
  <c r="G166" i="9"/>
  <c r="G165" i="9"/>
  <c r="G164" i="9"/>
  <c r="G163" i="9"/>
  <c r="G162" i="9"/>
  <c r="G161" i="9"/>
  <c r="G160" i="9"/>
  <c r="G159" i="9"/>
  <c r="G158" i="9"/>
  <c r="G157" i="9"/>
  <c r="G156" i="9"/>
  <c r="G155" i="9"/>
  <c r="G154" i="9"/>
  <c r="G153" i="9"/>
  <c r="G152" i="9"/>
  <c r="G151" i="9"/>
  <c r="G150" i="9"/>
  <c r="G149" i="9"/>
  <c r="G148" i="9"/>
  <c r="G147" i="9"/>
  <c r="G146" i="9"/>
  <c r="G145" i="9"/>
  <c r="G144" i="9"/>
  <c r="G143" i="9"/>
  <c r="G142" i="9"/>
  <c r="G141" i="9"/>
  <c r="G140" i="9"/>
  <c r="G139" i="9"/>
  <c r="G138" i="9"/>
  <c r="G137" i="9"/>
  <c r="G136" i="9"/>
  <c r="G135" i="9"/>
  <c r="G134" i="9"/>
  <c r="G133" i="9"/>
  <c r="G132" i="9"/>
  <c r="G131" i="9"/>
  <c r="G130" i="9"/>
  <c r="G129" i="9"/>
  <c r="G128" i="9"/>
  <c r="G127" i="9"/>
  <c r="G126" i="9"/>
  <c r="G125" i="9"/>
  <c r="G124" i="9"/>
  <c r="G123" i="9"/>
  <c r="G122" i="9"/>
  <c r="G121" i="9"/>
  <c r="G120" i="9"/>
  <c r="G119" i="9"/>
  <c r="G118" i="9"/>
  <c r="G117" i="9"/>
  <c r="G116" i="9"/>
  <c r="G115" i="9"/>
  <c r="G114" i="9"/>
  <c r="G113" i="9"/>
  <c r="G112" i="9"/>
  <c r="G111" i="9"/>
  <c r="G110" i="9"/>
  <c r="G109" i="9"/>
  <c r="G108" i="9"/>
  <c r="G107" i="9"/>
  <c r="G106" i="9"/>
  <c r="G105" i="9"/>
  <c r="G104" i="9"/>
  <c r="G103" i="9"/>
  <c r="G102" i="9"/>
  <c r="G101" i="9"/>
  <c r="G100" i="9"/>
  <c r="G99" i="9"/>
  <c r="G98" i="9"/>
  <c r="G97" i="9"/>
  <c r="G96" i="9"/>
  <c r="G95" i="9"/>
  <c r="G94" i="9"/>
  <c r="G93" i="9"/>
  <c r="G92" i="9"/>
  <c r="G91" i="9"/>
  <c r="G90" i="9"/>
  <c r="G89" i="9"/>
  <c r="G88" i="9"/>
  <c r="G87" i="9"/>
  <c r="G86" i="9"/>
  <c r="G85" i="9"/>
  <c r="G84" i="9"/>
  <c r="G83" i="9"/>
  <c r="G82" i="9"/>
  <c r="G81" i="9"/>
  <c r="G80" i="9"/>
  <c r="G79" i="9"/>
  <c r="G78" i="9"/>
  <c r="G77" i="9"/>
  <c r="G76" i="9"/>
  <c r="G75" i="9"/>
  <c r="G74" i="9"/>
  <c r="G73" i="9"/>
  <c r="G72" i="9"/>
  <c r="G71" i="9"/>
  <c r="G70" i="9"/>
  <c r="G69" i="9"/>
  <c r="G68" i="9"/>
  <c r="G67" i="9"/>
  <c r="G66" i="9"/>
  <c r="G65" i="9"/>
  <c r="G64" i="9"/>
  <c r="G63" i="9"/>
  <c r="G62" i="9"/>
  <c r="G61" i="9"/>
  <c r="G60" i="9"/>
  <c r="G59" i="9"/>
  <c r="G58" i="9"/>
  <c r="G57" i="9"/>
  <c r="G56" i="9"/>
  <c r="G55" i="9"/>
  <c r="G54" i="9"/>
  <c r="G53" i="9"/>
  <c r="G52" i="9"/>
  <c r="G51" i="9"/>
  <c r="G50" i="9"/>
  <c r="G49" i="9"/>
  <c r="G48" i="9"/>
  <c r="G47" i="9"/>
  <c r="G46" i="9"/>
  <c r="G45" i="9"/>
  <c r="G44" i="9"/>
  <c r="G43" i="9"/>
  <c r="G42" i="9"/>
  <c r="G41" i="9"/>
  <c r="G40" i="9"/>
  <c r="G39" i="9"/>
  <c r="G38" i="9"/>
  <c r="G37" i="9"/>
  <c r="G36" i="9"/>
  <c r="G35" i="9"/>
  <c r="G34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4" i="9"/>
  <c r="H14" i="7" l="1"/>
  <c r="H15" i="7"/>
  <c r="H20" i="7"/>
  <c r="H12" i="7"/>
  <c r="H17" i="7"/>
  <c r="H19" i="7"/>
  <c r="H11" i="7"/>
  <c r="H18" i="7"/>
  <c r="H13" i="7"/>
  <c r="H10" i="7"/>
  <c r="H9" i="7"/>
  <c r="H8" i="7"/>
  <c r="H7" i="7"/>
  <c r="H16" i="7"/>
  <c r="H6" i="7"/>
  <c r="H5" i="7"/>
  <c r="G4" i="7"/>
  <c r="H4" i="7" s="1"/>
  <c r="F4" i="7"/>
  <c r="H3" i="7"/>
  <c r="H3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G4" i="6"/>
  <c r="H4" i="6" s="1"/>
  <c r="F4" i="6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</calcChain>
</file>

<file path=xl/sharedStrings.xml><?xml version="1.0" encoding="utf-8"?>
<sst xmlns="http://schemas.openxmlformats.org/spreadsheetml/2006/main" count="810" uniqueCount="74">
  <si>
    <t>Variants</t>
  </si>
  <si>
    <t>Parameters</t>
  </si>
  <si>
    <t>Window Size</t>
  </si>
  <si>
    <t>No. of Clusters</t>
  </si>
  <si>
    <t>Linkage</t>
  </si>
  <si>
    <t>Variant 1</t>
  </si>
  <si>
    <t>Variant 2</t>
  </si>
  <si>
    <t>Variant 3</t>
  </si>
  <si>
    <t>Variant 4</t>
  </si>
  <si>
    <t>Variant 5</t>
  </si>
  <si>
    <t>Variant 6</t>
  </si>
  <si>
    <t>Variant 7</t>
  </si>
  <si>
    <t>Variant 8</t>
  </si>
  <si>
    <t>Variant 9</t>
  </si>
  <si>
    <t>ward.D2</t>
  </si>
  <si>
    <t>complete</t>
  </si>
  <si>
    <t>Variant 10</t>
  </si>
  <si>
    <t>Variant 11</t>
  </si>
  <si>
    <t>Variant 12</t>
  </si>
  <si>
    <t>Variant 13</t>
  </si>
  <si>
    <t>Variant 14</t>
  </si>
  <si>
    <t>Variant 15</t>
  </si>
  <si>
    <t>Variant 16</t>
  </si>
  <si>
    <t>Variant 17</t>
  </si>
  <si>
    <t>Variant 18</t>
  </si>
  <si>
    <t>Cluster</t>
  </si>
  <si>
    <t>Dispersion value</t>
  </si>
  <si>
    <t>Average Patch Size ≥ 1ha</t>
  </si>
  <si>
    <t>Cluster Area</t>
  </si>
  <si>
    <t>Metrics</t>
  </si>
  <si>
    <t>Normalized Dispersion Score</t>
  </si>
  <si>
    <t>Normalized Spp Comp Score</t>
  </si>
  <si>
    <t>Normalized Average Patch Size ≥ 1ha</t>
  </si>
  <si>
    <t>Normalized Metrics</t>
  </si>
  <si>
    <t>Aggregation of Normalized Metrics</t>
  </si>
  <si>
    <t>Category</t>
  </si>
  <si>
    <t>Bad</t>
  </si>
  <si>
    <t>Intermediate</t>
  </si>
  <si>
    <t>Excellent</t>
  </si>
  <si>
    <t>Area (ha) in the Usefulness Categories</t>
  </si>
  <si>
    <t>Area Share (%) in the Usefulness Categories</t>
  </si>
  <si>
    <t>Rank</t>
  </si>
  <si>
    <t>Score = Excellent area share - Bad area share</t>
  </si>
  <si>
    <t>Species Composition Score</t>
  </si>
  <si>
    <r>
      <rPr>
        <b/>
        <sz val="11"/>
        <color theme="1"/>
        <rFont val="Aptos Narrow"/>
        <family val="2"/>
        <scheme val="minor"/>
      </rPr>
      <t>Score</t>
    </r>
    <r>
      <rPr>
        <sz val="11"/>
        <color theme="1"/>
        <rFont val="Aptos Narrow"/>
        <family val="2"/>
        <scheme val="minor"/>
      </rPr>
      <t xml:space="preserve"> = Excellent area share - Bad area share</t>
    </r>
  </si>
  <si>
    <t>Dispersion Score</t>
  </si>
  <si>
    <t>V1 (w5_k5_ward.D2)</t>
  </si>
  <si>
    <t>V2 (w5_k10_ward.D2)</t>
  </si>
  <si>
    <t>V3 (w5_k15_ward.D2)</t>
  </si>
  <si>
    <t>V4 (w5_k5_complete)</t>
  </si>
  <si>
    <t>V5 (w5_k10_complete)</t>
  </si>
  <si>
    <t>V6 (w5_k15_complete)</t>
  </si>
  <si>
    <t>V7 (w7_k5_ward.D2)</t>
  </si>
  <si>
    <t>V8 (w7_k10_ward.D2)</t>
  </si>
  <si>
    <t>V9 (w7_k15_ward.D2)</t>
  </si>
  <si>
    <t>V10 (w7_k5_complete)</t>
  </si>
  <si>
    <t>V11 (w7_k10_complete)</t>
  </si>
  <si>
    <t>V12 (w7_k15_complete)</t>
  </si>
  <si>
    <t>V13 (w7_k5_ward.D2)</t>
  </si>
  <si>
    <t>V14 (w7_k10_ward.D2)</t>
  </si>
  <si>
    <t>V15 (w7_k15_ward.D2)</t>
  </si>
  <si>
    <t>V16 (w7_k5_complete)</t>
  </si>
  <si>
    <t>V17 (w7_k10_complete)</t>
  </si>
  <si>
    <t>V18 (w7_k15_complete)</t>
  </si>
  <si>
    <t>Actual</t>
  </si>
  <si>
    <t>Normalized</t>
  </si>
  <si>
    <t>Aggregated Normalized Metrics</t>
  </si>
  <si>
    <t>Output 1</t>
  </si>
  <si>
    <t>Output 2</t>
  </si>
  <si>
    <t>Min</t>
  </si>
  <si>
    <t>Max</t>
  </si>
  <si>
    <t>Mean</t>
  </si>
  <si>
    <t>Median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</si>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</sst>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2" fillId="0" borderId="0" xfId="0" applyFont="1"/>
    <xf numFmtId="0" fontId="8" fillId="4" borderId="3" xfId="3" applyBorder="1" applyAlignment="1">
      <alignment wrapText="1"/>
    </xf>
    <xf numFmtId="0" fontId="8" fillId="4" borderId="5" xfId="3" applyBorder="1" applyAlignment="1">
      <alignment wrapText="1"/>
    </xf>
    <xf numFmtId="0" fontId="8" fillId="4" borderId="8" xfId="3" applyBorder="1" applyAlignment="1">
      <alignment wrapText="1"/>
    </xf>
    <xf numFmtId="0" fontId="7" fillId="3" borderId="5" xfId="2" applyBorder="1" applyAlignment="1">
      <alignment wrapText="1"/>
    </xf>
    <xf numFmtId="0" fontId="7" fillId="3" borderId="8" xfId="2" applyBorder="1" applyAlignment="1">
      <alignment wrapText="1"/>
    </xf>
    <xf numFmtId="0" fontId="7" fillId="3" borderId="3" xfId="2" applyBorder="1" applyAlignment="1">
      <alignment wrapText="1"/>
    </xf>
    <xf numFmtId="0" fontId="9" fillId="0" borderId="0" xfId="0" applyFont="1"/>
    <xf numFmtId="0" fontId="5" fillId="0" borderId="0" xfId="0" applyFont="1" applyAlignment="1">
      <alignment horizontal="center"/>
    </xf>
    <xf numFmtId="0" fontId="7" fillId="3" borderId="0" xfId="2" applyBorder="1" applyAlignment="1">
      <alignment horizontal="center" vertical="center" wrapText="1"/>
    </xf>
    <xf numFmtId="0" fontId="8" fillId="4" borderId="0" xfId="3" applyBorder="1" applyAlignment="1">
      <alignment horizontal="center" vertical="center" wrapText="1"/>
    </xf>
    <xf numFmtId="0" fontId="6" fillId="2" borderId="0" xfId="1" applyBorder="1" applyAlignment="1">
      <alignment horizontal="center" vertical="center" wrapText="1"/>
    </xf>
    <xf numFmtId="0" fontId="0" fillId="0" borderId="0" xfId="0" applyAlignment="1">
      <alignment wrapText="1"/>
    </xf>
    <xf numFmtId="10" fontId="0" fillId="0" borderId="0" xfId="0" applyNumberFormat="1"/>
    <xf numFmtId="10" fontId="0" fillId="0" borderId="0" xfId="0" applyNumberFormat="1" applyAlignment="1">
      <alignment wrapText="1"/>
    </xf>
    <xf numFmtId="49" fontId="0" fillId="0" borderId="0" xfId="0" applyNumberFormat="1"/>
    <xf numFmtId="0" fontId="2" fillId="0" borderId="0" xfId="0" applyFont="1" applyAlignment="1">
      <alignment horizont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2" fillId="0" borderId="0" xfId="0" applyFont="1" applyAlignment="1">
      <alignment horizontal="center" vertical="center"/>
    </xf>
    <xf numFmtId="2" fontId="0" fillId="0" borderId="2" xfId="0" applyNumberFormat="1" applyBorder="1"/>
    <xf numFmtId="2" fontId="0" fillId="0" borderId="0" xfId="0" applyNumberFormat="1"/>
    <xf numFmtId="2" fontId="0" fillId="0" borderId="7" xfId="0" applyNumberFormat="1" applyBorder="1"/>
    <xf numFmtId="2" fontId="1" fillId="0" borderId="2" xfId="0" applyNumberFormat="1" applyFont="1" applyBorder="1"/>
    <xf numFmtId="2" fontId="1" fillId="0" borderId="0" xfId="0" applyNumberFormat="1" applyFont="1"/>
    <xf numFmtId="2" fontId="1" fillId="0" borderId="7" xfId="0" applyNumberFormat="1" applyFont="1" applyBorder="1"/>
    <xf numFmtId="2" fontId="0" fillId="0" borderId="3" xfId="0" applyNumberFormat="1" applyBorder="1"/>
    <xf numFmtId="2" fontId="0" fillId="0" borderId="5" xfId="0" applyNumberFormat="1" applyBorder="1"/>
    <xf numFmtId="2" fontId="0" fillId="0" borderId="8" xfId="0" applyNumberFormat="1" applyBorder="1"/>
    <xf numFmtId="0" fontId="8" fillId="4" borderId="0" xfId="3"/>
    <xf numFmtId="0" fontId="7" fillId="3" borderId="0" xfId="2"/>
    <xf numFmtId="0" fontId="6" fillId="2" borderId="0" xfId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0" fillId="0" borderId="0" xfId="0" applyFont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943FF-0388-4B20-95A2-D7659EACCF8D}">
  <dimension ref="A1:M188"/>
  <sheetViews>
    <sheetView tabSelected="1" topLeftCell="A167" workbookViewId="0">
      <selection activeCell="C184" sqref="C184:C188"/>
    </sheetView>
  </sheetViews>
  <sheetFormatPr defaultRowHeight="14.4" x14ac:dyDescent="0.3"/>
  <cols>
    <col min="1" max="1" width="21.109375" bestFit="1" customWidth="1"/>
    <col min="2" max="2" width="7.44140625" bestFit="1" customWidth="1"/>
    <col min="3" max="3" width="15.5546875" bestFit="1" customWidth="1"/>
    <col min="4" max="4" width="15.5546875" customWidth="1"/>
    <col min="5" max="5" width="24.44140625" bestFit="1" customWidth="1"/>
    <col min="6" max="6" width="24.44140625" customWidth="1"/>
    <col min="7" max="7" width="22.109375" bestFit="1" customWidth="1"/>
    <col min="8" max="9" width="22.109375" customWidth="1"/>
    <col min="10" max="10" width="28.5546875" bestFit="1" customWidth="1"/>
    <col min="11" max="11" width="11.77734375" bestFit="1" customWidth="1"/>
    <col min="12" max="12" width="28.5546875" bestFit="1" customWidth="1"/>
    <col min="13" max="13" width="11.77734375" bestFit="1" customWidth="1"/>
  </cols>
  <sheetData>
    <row r="1" spans="1:13" x14ac:dyDescent="0.3">
      <c r="A1" s="44" t="s">
        <v>0</v>
      </c>
      <c r="B1" s="44" t="s">
        <v>25</v>
      </c>
      <c r="C1" s="44" t="s">
        <v>29</v>
      </c>
      <c r="D1" s="44"/>
      <c r="E1" s="44"/>
      <c r="F1" s="44"/>
      <c r="G1" s="44"/>
      <c r="H1" s="44"/>
      <c r="I1" s="44"/>
      <c r="J1" s="44" t="s">
        <v>67</v>
      </c>
      <c r="K1" s="44"/>
      <c r="L1" s="44" t="s">
        <v>68</v>
      </c>
      <c r="M1" s="44"/>
    </row>
    <row r="2" spans="1:13" x14ac:dyDescent="0.3">
      <c r="A2" s="44"/>
      <c r="B2" s="44"/>
      <c r="C2" s="44" t="s">
        <v>28</v>
      </c>
      <c r="D2" s="44" t="s">
        <v>45</v>
      </c>
      <c r="E2" s="44"/>
      <c r="F2" s="44" t="s">
        <v>43</v>
      </c>
      <c r="G2" s="44"/>
      <c r="H2" s="44" t="s">
        <v>27</v>
      </c>
      <c r="I2" s="44"/>
      <c r="J2" s="44"/>
      <c r="K2" s="44"/>
      <c r="L2" s="44"/>
      <c r="M2" s="44"/>
    </row>
    <row r="3" spans="1:13" x14ac:dyDescent="0.3">
      <c r="A3" s="44"/>
      <c r="B3" s="44"/>
      <c r="C3" s="44"/>
      <c r="D3" s="31" t="s">
        <v>64</v>
      </c>
      <c r="E3" s="31" t="s">
        <v>65</v>
      </c>
      <c r="F3" s="31" t="s">
        <v>64</v>
      </c>
      <c r="G3" s="31" t="s">
        <v>65</v>
      </c>
      <c r="H3" s="31" t="s">
        <v>64</v>
      </c>
      <c r="I3" s="31" t="s">
        <v>65</v>
      </c>
      <c r="J3" s="31" t="s">
        <v>66</v>
      </c>
      <c r="K3" s="9" t="s">
        <v>35</v>
      </c>
      <c r="L3" s="31" t="s">
        <v>66</v>
      </c>
      <c r="M3" s="9" t="s">
        <v>35</v>
      </c>
    </row>
    <row r="4" spans="1:13" x14ac:dyDescent="0.3">
      <c r="A4" t="s">
        <v>46</v>
      </c>
      <c r="B4">
        <v>1</v>
      </c>
      <c r="C4">
        <v>537</v>
      </c>
      <c r="D4">
        <v>8.33</v>
      </c>
      <c r="E4" s="33">
        <v>0.86363636363636365</v>
      </c>
      <c r="F4">
        <v>9</v>
      </c>
      <c r="G4">
        <v>0.8</v>
      </c>
      <c r="H4">
        <v>6.16</v>
      </c>
      <c r="I4" s="33">
        <v>2.2742251746408329E-2</v>
      </c>
      <c r="J4" s="33">
        <v>0.56212620512759104</v>
      </c>
      <c r="K4" s="41" t="s">
        <v>37</v>
      </c>
      <c r="L4" s="33">
        <v>0.83181818181818179</v>
      </c>
      <c r="M4" s="43" t="s">
        <v>38</v>
      </c>
    </row>
    <row r="5" spans="1:13" x14ac:dyDescent="0.3">
      <c r="B5">
        <v>2</v>
      </c>
      <c r="C5">
        <v>615.5</v>
      </c>
      <c r="D5">
        <v>6</v>
      </c>
      <c r="E5" s="33">
        <v>0.54545454545454541</v>
      </c>
      <c r="F5">
        <v>9</v>
      </c>
      <c r="G5">
        <v>0.8</v>
      </c>
      <c r="H5">
        <v>8.5</v>
      </c>
      <c r="I5" s="33">
        <v>3.1355032555687355E-2</v>
      </c>
      <c r="J5" s="33">
        <v>0.45893652600341089</v>
      </c>
      <c r="K5" s="41" t="s">
        <v>37</v>
      </c>
      <c r="L5" s="33">
        <v>0.67272727272727273</v>
      </c>
      <c r="M5" s="41" t="s">
        <v>37</v>
      </c>
    </row>
    <row r="6" spans="1:13" x14ac:dyDescent="0.3">
      <c r="B6">
        <v>3</v>
      </c>
      <c r="C6">
        <v>515.5</v>
      </c>
      <c r="D6">
        <v>5.67</v>
      </c>
      <c r="E6" s="33">
        <v>0.5</v>
      </c>
      <c r="F6">
        <v>8</v>
      </c>
      <c r="G6">
        <v>0.6</v>
      </c>
      <c r="H6">
        <v>9.58</v>
      </c>
      <c r="I6" s="33">
        <v>3.535442678265454E-2</v>
      </c>
      <c r="J6" s="33">
        <v>0.37845147559421816</v>
      </c>
      <c r="K6" s="41" t="s">
        <v>37</v>
      </c>
      <c r="L6" s="33">
        <v>0.55000000000000004</v>
      </c>
      <c r="M6" s="41" t="s">
        <v>37</v>
      </c>
    </row>
    <row r="7" spans="1:13" x14ac:dyDescent="0.3">
      <c r="B7">
        <v>4</v>
      </c>
      <c r="C7">
        <v>308.25</v>
      </c>
      <c r="D7">
        <v>4.5</v>
      </c>
      <c r="E7" s="33">
        <v>0.34090909090909088</v>
      </c>
      <c r="F7">
        <v>9</v>
      </c>
      <c r="G7">
        <v>0.8</v>
      </c>
      <c r="H7">
        <v>4.6900000000000004</v>
      </c>
      <c r="I7" s="33">
        <v>1.729513536312113E-2</v>
      </c>
      <c r="J7" s="33">
        <v>0.38606807542407068</v>
      </c>
      <c r="K7" s="41" t="s">
        <v>37</v>
      </c>
      <c r="L7" s="33">
        <v>0.57045454545454544</v>
      </c>
      <c r="M7" s="41" t="s">
        <v>37</v>
      </c>
    </row>
    <row r="8" spans="1:13" x14ac:dyDescent="0.3">
      <c r="B8">
        <v>5</v>
      </c>
      <c r="C8">
        <v>525.5</v>
      </c>
      <c r="D8">
        <v>5.33</v>
      </c>
      <c r="E8" s="33">
        <v>0.45454545454545447</v>
      </c>
      <c r="F8">
        <v>9</v>
      </c>
      <c r="G8">
        <v>0.8</v>
      </c>
      <c r="H8">
        <v>5.12</v>
      </c>
      <c r="I8" s="33">
        <v>1.8908628443390009E-2</v>
      </c>
      <c r="J8" s="33">
        <v>0.42448469432961478</v>
      </c>
      <c r="K8" s="41" t="s">
        <v>37</v>
      </c>
      <c r="L8" s="33">
        <v>0.6272727272727272</v>
      </c>
      <c r="M8" s="41" t="s">
        <v>37</v>
      </c>
    </row>
    <row r="9" spans="1:13" x14ac:dyDescent="0.3">
      <c r="A9" t="s">
        <v>47</v>
      </c>
      <c r="B9">
        <v>1</v>
      </c>
      <c r="C9">
        <v>352.75</v>
      </c>
      <c r="D9">
        <v>8.17</v>
      </c>
      <c r="E9" s="33">
        <v>0.84090909090909072</v>
      </c>
      <c r="F9">
        <v>7</v>
      </c>
      <c r="G9">
        <v>0.4</v>
      </c>
      <c r="H9">
        <v>5.13</v>
      </c>
      <c r="I9" s="33">
        <v>1.8930406221167786E-2</v>
      </c>
      <c r="J9" s="33">
        <v>0.41994649904341946</v>
      </c>
      <c r="K9" s="41" t="s">
        <v>37</v>
      </c>
      <c r="L9" s="33">
        <v>0.62045454545454537</v>
      </c>
      <c r="M9" s="41" t="s">
        <v>37</v>
      </c>
    </row>
    <row r="10" spans="1:13" x14ac:dyDescent="0.3">
      <c r="B10">
        <v>2</v>
      </c>
      <c r="C10">
        <v>470</v>
      </c>
      <c r="D10">
        <v>7.5</v>
      </c>
      <c r="E10" s="33">
        <v>0.74999999999999989</v>
      </c>
      <c r="F10">
        <v>9</v>
      </c>
      <c r="G10">
        <v>0.8</v>
      </c>
      <c r="H10">
        <v>5.16</v>
      </c>
      <c r="I10" s="33">
        <v>1.9026142085145643E-2</v>
      </c>
      <c r="J10" s="33">
        <v>0.52300871402838178</v>
      </c>
      <c r="K10" s="41" t="s">
        <v>37</v>
      </c>
      <c r="L10" s="33">
        <v>0.77499999999999991</v>
      </c>
      <c r="M10" s="43" t="s">
        <v>38</v>
      </c>
    </row>
    <row r="11" spans="1:13" x14ac:dyDescent="0.3">
      <c r="B11">
        <v>3</v>
      </c>
      <c r="C11">
        <v>214</v>
      </c>
      <c r="D11">
        <v>7.33</v>
      </c>
      <c r="E11" s="33">
        <v>0.72727272727272718</v>
      </c>
      <c r="F11">
        <v>8</v>
      </c>
      <c r="G11">
        <v>0.6</v>
      </c>
      <c r="H11">
        <v>4.8099999999999996</v>
      </c>
      <c r="I11" s="33">
        <v>1.7753653354422038E-2</v>
      </c>
      <c r="J11" s="33">
        <v>0.4483421268757164</v>
      </c>
      <c r="K11" s="41" t="s">
        <v>37</v>
      </c>
      <c r="L11" s="33">
        <v>0.66363636363636358</v>
      </c>
      <c r="M11" s="41" t="s">
        <v>37</v>
      </c>
    </row>
    <row r="12" spans="1:13" x14ac:dyDescent="0.3">
      <c r="B12">
        <v>4</v>
      </c>
      <c r="C12">
        <v>301.5</v>
      </c>
      <c r="D12">
        <v>6.33</v>
      </c>
      <c r="E12" s="33">
        <v>0.59090909090909083</v>
      </c>
      <c r="F12">
        <v>8</v>
      </c>
      <c r="G12">
        <v>0.6</v>
      </c>
      <c r="H12">
        <v>3.63</v>
      </c>
      <c r="I12" s="33">
        <v>1.3378146830104125E-2</v>
      </c>
      <c r="J12" s="33">
        <v>0.40142907924639837</v>
      </c>
      <c r="K12" s="41" t="s">
        <v>37</v>
      </c>
      <c r="L12" s="33">
        <v>0.59545454545454546</v>
      </c>
      <c r="M12" s="41" t="s">
        <v>37</v>
      </c>
    </row>
    <row r="13" spans="1:13" x14ac:dyDescent="0.3">
      <c r="B13">
        <v>5</v>
      </c>
      <c r="C13">
        <v>145.5</v>
      </c>
      <c r="D13">
        <v>7.83</v>
      </c>
      <c r="E13" s="33">
        <v>0.7954545454545453</v>
      </c>
      <c r="F13">
        <v>9</v>
      </c>
      <c r="G13">
        <v>0.8</v>
      </c>
      <c r="H13">
        <v>2.94</v>
      </c>
      <c r="I13" s="33">
        <v>1.0834996177672335E-2</v>
      </c>
      <c r="J13" s="33">
        <v>0.53542984721073916</v>
      </c>
      <c r="K13" s="41" t="s">
        <v>37</v>
      </c>
      <c r="L13" s="33">
        <v>0.79772727272727262</v>
      </c>
      <c r="M13" s="43" t="s">
        <v>38</v>
      </c>
    </row>
    <row r="14" spans="1:13" x14ac:dyDescent="0.3">
      <c r="B14">
        <v>6</v>
      </c>
      <c r="C14">
        <v>84.25</v>
      </c>
      <c r="D14">
        <v>5.17</v>
      </c>
      <c r="E14" s="33">
        <v>0.43181818181818182</v>
      </c>
      <c r="F14">
        <v>9</v>
      </c>
      <c r="G14">
        <v>0.8</v>
      </c>
      <c r="H14">
        <v>2.5499999999999998</v>
      </c>
      <c r="I14" s="33">
        <v>9.3940608936338467E-3</v>
      </c>
      <c r="J14" s="33">
        <v>0.41373741423727189</v>
      </c>
      <c r="K14" s="41" t="s">
        <v>37</v>
      </c>
      <c r="L14" s="33">
        <v>0.61590909090909096</v>
      </c>
      <c r="M14" s="41" t="s">
        <v>37</v>
      </c>
    </row>
    <row r="15" spans="1:13" x14ac:dyDescent="0.3">
      <c r="B15">
        <v>7</v>
      </c>
      <c r="C15">
        <v>307.75</v>
      </c>
      <c r="D15">
        <v>6</v>
      </c>
      <c r="E15" s="33">
        <v>0.54545454545454541</v>
      </c>
      <c r="F15">
        <v>9</v>
      </c>
      <c r="G15">
        <v>0.8</v>
      </c>
      <c r="H15">
        <v>2.5299999999999998</v>
      </c>
      <c r="I15" s="33">
        <v>9.3185712402794243E-3</v>
      </c>
      <c r="J15" s="33">
        <v>0.45159103889827495</v>
      </c>
      <c r="K15" s="41" t="s">
        <v>37</v>
      </c>
      <c r="L15" s="33">
        <v>0.67272727272727273</v>
      </c>
      <c r="M15" s="41" t="s">
        <v>37</v>
      </c>
    </row>
    <row r="16" spans="1:13" x14ac:dyDescent="0.3">
      <c r="B16">
        <v>8</v>
      </c>
      <c r="C16">
        <v>184.25</v>
      </c>
      <c r="D16">
        <v>9.17</v>
      </c>
      <c r="E16" s="33">
        <v>0.97727272727272707</v>
      </c>
      <c r="F16">
        <v>9</v>
      </c>
      <c r="G16">
        <v>0.8</v>
      </c>
      <c r="H16">
        <v>1.59</v>
      </c>
      <c r="I16" s="33">
        <v>5.8545132463424278E-3</v>
      </c>
      <c r="J16" s="33">
        <v>0.59437574683968974</v>
      </c>
      <c r="K16" s="41" t="s">
        <v>37</v>
      </c>
      <c r="L16" s="33">
        <v>0.88863636363636356</v>
      </c>
      <c r="M16" s="43" t="s">
        <v>38</v>
      </c>
    </row>
    <row r="17" spans="1:13" x14ac:dyDescent="0.3">
      <c r="B17">
        <v>9</v>
      </c>
      <c r="C17">
        <v>217.75</v>
      </c>
      <c r="D17">
        <v>7.83</v>
      </c>
      <c r="E17" s="33">
        <v>0.7954545454545453</v>
      </c>
      <c r="F17">
        <v>9</v>
      </c>
      <c r="G17">
        <v>0.8</v>
      </c>
      <c r="H17">
        <v>2.77</v>
      </c>
      <c r="I17" s="33">
        <v>1.0232813496770793E-2</v>
      </c>
      <c r="J17" s="33">
        <v>0.53522911965043862</v>
      </c>
      <c r="K17" s="41" t="s">
        <v>37</v>
      </c>
      <c r="L17" s="33">
        <v>0.79772727272727262</v>
      </c>
      <c r="M17" s="43" t="s">
        <v>38</v>
      </c>
    </row>
    <row r="18" spans="1:13" x14ac:dyDescent="0.3">
      <c r="B18">
        <v>10</v>
      </c>
      <c r="C18">
        <v>224</v>
      </c>
      <c r="D18">
        <v>6.83</v>
      </c>
      <c r="E18" s="33">
        <v>0.65909090909090895</v>
      </c>
      <c r="F18">
        <v>10</v>
      </c>
      <c r="G18">
        <v>1</v>
      </c>
      <c r="H18">
        <v>4.76</v>
      </c>
      <c r="I18" s="33">
        <v>1.7554265454066166E-2</v>
      </c>
      <c r="J18" s="33">
        <v>0.55888172484832499</v>
      </c>
      <c r="K18" s="41" t="s">
        <v>37</v>
      </c>
      <c r="L18" s="33">
        <v>0.82954545454545447</v>
      </c>
      <c r="M18" s="43" t="s">
        <v>38</v>
      </c>
    </row>
    <row r="19" spans="1:13" x14ac:dyDescent="0.3">
      <c r="A19" t="s">
        <v>48</v>
      </c>
      <c r="B19">
        <v>1</v>
      </c>
      <c r="C19">
        <v>298.25</v>
      </c>
      <c r="D19">
        <v>7.17</v>
      </c>
      <c r="E19" s="33">
        <v>0.70454545454545447</v>
      </c>
      <c r="F19">
        <v>7</v>
      </c>
      <c r="G19">
        <v>0.4</v>
      </c>
      <c r="H19">
        <v>4.8099999999999996</v>
      </c>
      <c r="I19" s="33">
        <v>1.7760643205483064E-2</v>
      </c>
      <c r="J19" s="33">
        <v>0.37410203258364583</v>
      </c>
      <c r="K19" s="41" t="s">
        <v>37</v>
      </c>
      <c r="L19" s="33">
        <v>0.55227272727272725</v>
      </c>
      <c r="M19" s="41" t="s">
        <v>37</v>
      </c>
    </row>
    <row r="20" spans="1:13" x14ac:dyDescent="0.3">
      <c r="B20">
        <v>2</v>
      </c>
      <c r="C20">
        <v>182</v>
      </c>
      <c r="D20">
        <v>8</v>
      </c>
      <c r="E20" s="33">
        <v>0.81818181818181812</v>
      </c>
      <c r="F20">
        <v>9</v>
      </c>
      <c r="G20">
        <v>0.8</v>
      </c>
      <c r="H20">
        <v>1.98</v>
      </c>
      <c r="I20" s="33">
        <v>7.3208749520060059E-3</v>
      </c>
      <c r="J20" s="33">
        <v>0.54183423104460804</v>
      </c>
      <c r="K20" s="41" t="s">
        <v>37</v>
      </c>
      <c r="L20" s="33">
        <v>0.80909090909090908</v>
      </c>
      <c r="M20" s="43" t="s">
        <v>38</v>
      </c>
    </row>
    <row r="21" spans="1:13" x14ac:dyDescent="0.3">
      <c r="B21">
        <v>3</v>
      </c>
      <c r="C21">
        <v>114.25</v>
      </c>
      <c r="D21">
        <v>6.67</v>
      </c>
      <c r="E21" s="33">
        <v>0.63636363636363635</v>
      </c>
      <c r="F21">
        <v>8</v>
      </c>
      <c r="G21">
        <v>0.6</v>
      </c>
      <c r="H21">
        <v>1.86</v>
      </c>
      <c r="I21" s="33">
        <v>6.8750876924450581E-3</v>
      </c>
      <c r="J21" s="33">
        <v>0.41441290801869379</v>
      </c>
      <c r="K21" s="41" t="s">
        <v>37</v>
      </c>
      <c r="L21" s="33">
        <v>0.61818181818181817</v>
      </c>
      <c r="M21" s="41" t="s">
        <v>37</v>
      </c>
    </row>
    <row r="22" spans="1:13" x14ac:dyDescent="0.3">
      <c r="B22">
        <v>4</v>
      </c>
      <c r="C22">
        <v>141.5</v>
      </c>
      <c r="D22">
        <v>6.17</v>
      </c>
      <c r="E22" s="33">
        <v>0.56818181818181812</v>
      </c>
      <c r="F22">
        <v>8</v>
      </c>
      <c r="G22">
        <v>0.6</v>
      </c>
      <c r="H22">
        <v>1.97</v>
      </c>
      <c r="I22" s="33">
        <v>7.2756030051403736E-3</v>
      </c>
      <c r="J22" s="33">
        <v>0.3918191403956528</v>
      </c>
      <c r="K22" s="41" t="s">
        <v>37</v>
      </c>
      <c r="L22" s="33">
        <v>0.58409090909090899</v>
      </c>
      <c r="M22" s="41" t="s">
        <v>37</v>
      </c>
    </row>
    <row r="23" spans="1:13" x14ac:dyDescent="0.3">
      <c r="B23">
        <v>5</v>
      </c>
      <c r="C23">
        <v>145.5</v>
      </c>
      <c r="D23">
        <v>7.17</v>
      </c>
      <c r="E23" s="33">
        <v>0.70454545454545447</v>
      </c>
      <c r="F23">
        <v>9</v>
      </c>
      <c r="G23">
        <v>0.8</v>
      </c>
      <c r="H23">
        <v>2.94</v>
      </c>
      <c r="I23" s="33">
        <v>1.0834997786361962E-2</v>
      </c>
      <c r="J23" s="33">
        <v>0.50512681744393872</v>
      </c>
      <c r="K23" s="41" t="s">
        <v>37</v>
      </c>
      <c r="L23" s="33">
        <v>0.7522727272727272</v>
      </c>
      <c r="M23" s="43" t="s">
        <v>38</v>
      </c>
    </row>
    <row r="24" spans="1:13" x14ac:dyDescent="0.3">
      <c r="B24">
        <v>6</v>
      </c>
      <c r="C24">
        <v>160</v>
      </c>
      <c r="D24">
        <v>8</v>
      </c>
      <c r="E24" s="33">
        <v>0.81818181818181812</v>
      </c>
      <c r="F24">
        <v>7</v>
      </c>
      <c r="G24">
        <v>0.4</v>
      </c>
      <c r="H24">
        <v>1.85</v>
      </c>
      <c r="I24" s="33">
        <v>6.8313941260106171E-3</v>
      </c>
      <c r="J24" s="33">
        <v>0.40833773743594293</v>
      </c>
      <c r="K24" s="41" t="s">
        <v>37</v>
      </c>
      <c r="L24" s="33">
        <v>0.60909090909090913</v>
      </c>
      <c r="M24" s="41" t="s">
        <v>37</v>
      </c>
    </row>
    <row r="25" spans="1:13" x14ac:dyDescent="0.3">
      <c r="B25">
        <v>7</v>
      </c>
      <c r="C25">
        <v>54.5</v>
      </c>
      <c r="D25">
        <v>9</v>
      </c>
      <c r="E25" s="33">
        <v>0.95454545454545447</v>
      </c>
      <c r="F25">
        <v>8</v>
      </c>
      <c r="G25">
        <v>0.6</v>
      </c>
      <c r="H25">
        <v>3.03</v>
      </c>
      <c r="I25" s="33">
        <v>1.1163832872017925E-2</v>
      </c>
      <c r="J25" s="33">
        <v>0.52190309580582406</v>
      </c>
      <c r="K25" s="41" t="s">
        <v>37</v>
      </c>
      <c r="L25" s="33">
        <v>0.77727272727272723</v>
      </c>
      <c r="M25" s="43" t="s">
        <v>38</v>
      </c>
    </row>
    <row r="26" spans="1:13" x14ac:dyDescent="0.3">
      <c r="B26">
        <v>8</v>
      </c>
      <c r="C26">
        <v>84.25</v>
      </c>
      <c r="D26">
        <v>6.17</v>
      </c>
      <c r="E26" s="33">
        <v>0.56818181818181812</v>
      </c>
      <c r="F26">
        <v>9</v>
      </c>
      <c r="G26">
        <v>0.8</v>
      </c>
      <c r="H26">
        <v>2.5499999999999998</v>
      </c>
      <c r="I26" s="33">
        <v>9.3940592161232718E-3</v>
      </c>
      <c r="J26" s="33">
        <v>0.4591919591326471</v>
      </c>
      <c r="K26" s="41" t="s">
        <v>37</v>
      </c>
      <c r="L26" s="33">
        <v>0.68409090909090908</v>
      </c>
      <c r="M26" s="41" t="s">
        <v>37</v>
      </c>
    </row>
    <row r="27" spans="1:13" x14ac:dyDescent="0.3">
      <c r="B27">
        <v>9</v>
      </c>
      <c r="C27">
        <v>288</v>
      </c>
      <c r="D27">
        <v>8</v>
      </c>
      <c r="E27" s="33">
        <v>0.81818181818181812</v>
      </c>
      <c r="F27">
        <v>9</v>
      </c>
      <c r="G27">
        <v>0.8</v>
      </c>
      <c r="H27">
        <v>3.75</v>
      </c>
      <c r="I27" s="33">
        <v>1.3822687132295675E-2</v>
      </c>
      <c r="J27" s="33">
        <v>0.5440015017713713</v>
      </c>
      <c r="K27" s="41" t="s">
        <v>37</v>
      </c>
      <c r="L27" s="33">
        <v>0.80909090909090908</v>
      </c>
      <c r="M27" s="43" t="s">
        <v>38</v>
      </c>
    </row>
    <row r="28" spans="1:13" x14ac:dyDescent="0.3">
      <c r="B28">
        <v>10</v>
      </c>
      <c r="C28">
        <v>231.75</v>
      </c>
      <c r="D28">
        <v>8</v>
      </c>
      <c r="E28" s="33">
        <v>0.81818181818181812</v>
      </c>
      <c r="F28">
        <v>8</v>
      </c>
      <c r="G28">
        <v>0.6</v>
      </c>
      <c r="H28">
        <v>2.02</v>
      </c>
      <c r="I28" s="33">
        <v>7.4405710957197594E-3</v>
      </c>
      <c r="J28" s="33">
        <v>0.47520746309251255</v>
      </c>
      <c r="K28" s="41" t="s">
        <v>37</v>
      </c>
      <c r="L28" s="33">
        <v>0.70909090909090899</v>
      </c>
      <c r="M28" s="41" t="s">
        <v>37</v>
      </c>
    </row>
    <row r="29" spans="1:13" x14ac:dyDescent="0.3">
      <c r="B29">
        <v>11</v>
      </c>
      <c r="C29">
        <v>184.25</v>
      </c>
      <c r="D29">
        <v>8.5</v>
      </c>
      <c r="E29" s="33">
        <v>0.88636363636363624</v>
      </c>
      <c r="F29">
        <v>9</v>
      </c>
      <c r="G29">
        <v>0.8</v>
      </c>
      <c r="H29">
        <v>1.59</v>
      </c>
      <c r="I29" s="33">
        <v>5.8545119043339668E-3</v>
      </c>
      <c r="J29" s="33">
        <v>0.56407271608932341</v>
      </c>
      <c r="K29" s="41" t="s">
        <v>37</v>
      </c>
      <c r="L29" s="33">
        <v>0.84318181818181814</v>
      </c>
      <c r="M29" s="43" t="s">
        <v>38</v>
      </c>
    </row>
    <row r="30" spans="1:13" x14ac:dyDescent="0.3">
      <c r="B30">
        <v>12</v>
      </c>
      <c r="C30">
        <v>217.75</v>
      </c>
      <c r="D30">
        <v>8.17</v>
      </c>
      <c r="E30" s="33">
        <v>0.84090909090909072</v>
      </c>
      <c r="F30">
        <v>9</v>
      </c>
      <c r="G30">
        <v>0.8</v>
      </c>
      <c r="H30">
        <v>2.77</v>
      </c>
      <c r="I30" s="33">
        <v>1.0232814503277137E-2</v>
      </c>
      <c r="J30" s="33">
        <v>0.55038063513745583</v>
      </c>
      <c r="K30" s="41" t="s">
        <v>37</v>
      </c>
      <c r="L30" s="33">
        <v>0.82045454545454533</v>
      </c>
      <c r="M30" s="43" t="s">
        <v>38</v>
      </c>
    </row>
    <row r="31" spans="1:13" x14ac:dyDescent="0.3">
      <c r="B31">
        <v>13</v>
      </c>
      <c r="C31">
        <v>224</v>
      </c>
      <c r="D31">
        <v>6.83</v>
      </c>
      <c r="E31" s="33">
        <v>0.65909090909090895</v>
      </c>
      <c r="F31">
        <v>9</v>
      </c>
      <c r="G31">
        <v>0.8</v>
      </c>
      <c r="H31">
        <v>4.76</v>
      </c>
      <c r="I31" s="33">
        <v>1.7554265259828099E-2</v>
      </c>
      <c r="J31" s="33">
        <v>0.49221505811691235</v>
      </c>
      <c r="K31" s="41" t="s">
        <v>37</v>
      </c>
      <c r="L31" s="33">
        <v>0.7295454545454545</v>
      </c>
      <c r="M31" s="41" t="s">
        <v>37</v>
      </c>
    </row>
    <row r="32" spans="1:13" x14ac:dyDescent="0.3">
      <c r="B32">
        <v>14</v>
      </c>
      <c r="C32">
        <v>76</v>
      </c>
      <c r="D32">
        <v>6.67</v>
      </c>
      <c r="E32" s="33">
        <v>0.63636363636363635</v>
      </c>
      <c r="F32">
        <v>8</v>
      </c>
      <c r="G32">
        <v>0.6</v>
      </c>
      <c r="H32">
        <v>2.25</v>
      </c>
      <c r="I32" s="33">
        <v>8.3036773428232496E-3</v>
      </c>
      <c r="J32" s="33">
        <v>0.41488910456881989</v>
      </c>
      <c r="K32" s="41" t="s">
        <v>37</v>
      </c>
      <c r="L32" s="33">
        <v>0.61818181818181817</v>
      </c>
      <c r="M32" s="41" t="s">
        <v>37</v>
      </c>
    </row>
    <row r="33" spans="1:13" x14ac:dyDescent="0.3">
      <c r="B33">
        <v>15</v>
      </c>
      <c r="C33">
        <v>99.75</v>
      </c>
      <c r="D33">
        <v>6.33</v>
      </c>
      <c r="E33" s="33">
        <v>0.59090909090909083</v>
      </c>
      <c r="F33">
        <v>8</v>
      </c>
      <c r="G33">
        <v>0.6</v>
      </c>
      <c r="H33">
        <v>3.92</v>
      </c>
      <c r="I33" s="33">
        <v>1.4454549448618251E-2</v>
      </c>
      <c r="J33" s="33">
        <v>0.40178788011923638</v>
      </c>
      <c r="K33" s="41" t="s">
        <v>37</v>
      </c>
      <c r="L33" s="33">
        <v>0.59545454545454546</v>
      </c>
      <c r="M33" s="41" t="s">
        <v>37</v>
      </c>
    </row>
    <row r="34" spans="1:13" x14ac:dyDescent="0.3">
      <c r="A34" t="s">
        <v>49</v>
      </c>
      <c r="B34">
        <v>1</v>
      </c>
      <c r="C34">
        <v>379.25</v>
      </c>
      <c r="D34">
        <v>7.33</v>
      </c>
      <c r="E34" s="33">
        <v>0.72727272727272718</v>
      </c>
      <c r="F34">
        <v>7</v>
      </c>
      <c r="G34">
        <v>0.4</v>
      </c>
      <c r="H34">
        <v>5.12</v>
      </c>
      <c r="I34" s="33">
        <v>1.8891244082306448E-2</v>
      </c>
      <c r="J34" s="33">
        <v>0.38205465711834452</v>
      </c>
      <c r="K34" s="41" t="s">
        <v>37</v>
      </c>
      <c r="L34" s="33">
        <v>0.5636363636363636</v>
      </c>
      <c r="M34" s="41" t="s">
        <v>37</v>
      </c>
    </row>
    <row r="35" spans="1:13" x14ac:dyDescent="0.3">
      <c r="B35">
        <v>2</v>
      </c>
      <c r="C35">
        <v>1910.75</v>
      </c>
      <c r="D35">
        <v>2.67</v>
      </c>
      <c r="E35" s="33">
        <v>9.0909090909090884E-2</v>
      </c>
      <c r="F35">
        <v>8</v>
      </c>
      <c r="G35">
        <v>0.6</v>
      </c>
      <c r="H35">
        <v>270.95999999999998</v>
      </c>
      <c r="I35" s="33">
        <v>1</v>
      </c>
      <c r="J35" s="33">
        <v>0.5636363636363636</v>
      </c>
      <c r="K35" s="41" t="s">
        <v>37</v>
      </c>
      <c r="L35" s="33">
        <v>0.34545454545454546</v>
      </c>
      <c r="M35" s="41" t="s">
        <v>37</v>
      </c>
    </row>
    <row r="36" spans="1:13" x14ac:dyDescent="0.3">
      <c r="B36">
        <v>3</v>
      </c>
      <c r="C36">
        <v>149.5</v>
      </c>
      <c r="D36">
        <v>6.5</v>
      </c>
      <c r="E36" s="33">
        <v>0.61363636363636354</v>
      </c>
      <c r="F36">
        <v>7</v>
      </c>
      <c r="G36">
        <v>0.4</v>
      </c>
      <c r="H36">
        <v>2.95</v>
      </c>
      <c r="I36" s="33">
        <v>1.0894140787379223E-2</v>
      </c>
      <c r="J36" s="33">
        <v>0.34151016814124763</v>
      </c>
      <c r="K36" s="41" t="s">
        <v>37</v>
      </c>
      <c r="L36" s="33">
        <v>0.50681818181818183</v>
      </c>
      <c r="M36" s="41" t="s">
        <v>37</v>
      </c>
    </row>
    <row r="37" spans="1:13" x14ac:dyDescent="0.3">
      <c r="B37">
        <v>4</v>
      </c>
      <c r="C37">
        <v>24.5</v>
      </c>
      <c r="D37">
        <v>7.83</v>
      </c>
      <c r="E37" s="33">
        <v>0.7954545454545453</v>
      </c>
      <c r="F37">
        <v>7</v>
      </c>
      <c r="G37">
        <v>0.4</v>
      </c>
      <c r="H37">
        <v>1</v>
      </c>
      <c r="I37" s="33">
        <v>3.690523263477E-3</v>
      </c>
      <c r="J37" s="33">
        <v>0.39971502290600741</v>
      </c>
      <c r="K37" s="41" t="s">
        <v>37</v>
      </c>
      <c r="L37" s="33">
        <v>0.59772727272727266</v>
      </c>
      <c r="M37" s="41" t="s">
        <v>37</v>
      </c>
    </row>
    <row r="38" spans="1:13" x14ac:dyDescent="0.3">
      <c r="B38">
        <v>5</v>
      </c>
      <c r="C38">
        <v>37.75</v>
      </c>
      <c r="D38">
        <v>6.17</v>
      </c>
      <c r="E38" s="33">
        <v>0.56818181818181812</v>
      </c>
      <c r="F38">
        <v>8</v>
      </c>
      <c r="G38">
        <v>0.6</v>
      </c>
      <c r="H38">
        <v>1.78</v>
      </c>
      <c r="I38" s="33">
        <v>6.5609302461813335E-3</v>
      </c>
      <c r="J38" s="33">
        <v>0.39158091614266644</v>
      </c>
      <c r="K38" s="41" t="s">
        <v>37</v>
      </c>
      <c r="L38" s="33">
        <v>0.58409090909090899</v>
      </c>
      <c r="M38" s="41" t="s">
        <v>37</v>
      </c>
    </row>
    <row r="39" spans="1:13" x14ac:dyDescent="0.3">
      <c r="A39" t="s">
        <v>50</v>
      </c>
      <c r="B39">
        <v>1</v>
      </c>
      <c r="C39">
        <v>372.75</v>
      </c>
      <c r="D39">
        <v>7.33</v>
      </c>
      <c r="E39" s="33">
        <v>0.72727272727272718</v>
      </c>
      <c r="F39">
        <v>8</v>
      </c>
      <c r="G39">
        <v>0.6</v>
      </c>
      <c r="H39">
        <v>5.31</v>
      </c>
      <c r="I39" s="33">
        <v>1.9601858210836171E-2</v>
      </c>
      <c r="J39" s="33">
        <v>0.44895819516118773</v>
      </c>
      <c r="K39" s="41" t="s">
        <v>37</v>
      </c>
      <c r="L39" s="33">
        <v>0.66363636363636358</v>
      </c>
      <c r="M39" s="41" t="s">
        <v>37</v>
      </c>
    </row>
    <row r="40" spans="1:13" x14ac:dyDescent="0.3">
      <c r="B40">
        <v>2</v>
      </c>
      <c r="C40">
        <v>1518.5</v>
      </c>
      <c r="D40">
        <v>2.83</v>
      </c>
      <c r="E40" s="33">
        <v>0.11363636363636365</v>
      </c>
      <c r="F40">
        <v>8</v>
      </c>
      <c r="G40">
        <v>0.6</v>
      </c>
      <c r="H40">
        <v>57.09</v>
      </c>
      <c r="I40" s="33">
        <v>0.2106791982236822</v>
      </c>
      <c r="J40" s="33">
        <v>0.3081051872866819</v>
      </c>
      <c r="K40" s="41" t="s">
        <v>37</v>
      </c>
      <c r="L40" s="33">
        <v>0.35681818181818181</v>
      </c>
      <c r="M40" s="41" t="s">
        <v>37</v>
      </c>
    </row>
    <row r="41" spans="1:13" x14ac:dyDescent="0.3">
      <c r="B41">
        <v>3</v>
      </c>
      <c r="C41">
        <v>149.5</v>
      </c>
      <c r="D41">
        <v>6.33</v>
      </c>
      <c r="E41" s="33">
        <v>0.59090909090909083</v>
      </c>
      <c r="F41">
        <v>6</v>
      </c>
      <c r="G41">
        <v>0.2</v>
      </c>
      <c r="H41">
        <v>2.95</v>
      </c>
      <c r="I41" s="33">
        <v>1.0894140787379223E-2</v>
      </c>
      <c r="J41" s="33">
        <v>0.26726774389882335</v>
      </c>
      <c r="K41" s="41" t="s">
        <v>37</v>
      </c>
      <c r="L41" s="33">
        <v>0.39545454545454539</v>
      </c>
      <c r="M41" s="41" t="s">
        <v>37</v>
      </c>
    </row>
    <row r="42" spans="1:13" x14ac:dyDescent="0.3">
      <c r="B42">
        <v>4</v>
      </c>
      <c r="C42">
        <v>131.5</v>
      </c>
      <c r="D42">
        <v>6.83</v>
      </c>
      <c r="E42" s="33">
        <v>0.65909090909090895</v>
      </c>
      <c r="F42">
        <v>5</v>
      </c>
      <c r="G42">
        <v>0</v>
      </c>
      <c r="H42">
        <v>1.71</v>
      </c>
      <c r="I42" s="33">
        <v>6.300250428364307E-3</v>
      </c>
      <c r="J42" s="33">
        <v>0.22179705317309109</v>
      </c>
      <c r="K42" s="42" t="s">
        <v>36</v>
      </c>
      <c r="L42" s="33">
        <v>0.32954545454545447</v>
      </c>
      <c r="M42" s="41" t="s">
        <v>37</v>
      </c>
    </row>
    <row r="43" spans="1:13" x14ac:dyDescent="0.3">
      <c r="B43">
        <v>5</v>
      </c>
      <c r="C43">
        <v>185</v>
      </c>
      <c r="D43">
        <v>5.33</v>
      </c>
      <c r="E43" s="33">
        <v>0.45454545454545447</v>
      </c>
      <c r="F43">
        <v>9</v>
      </c>
      <c r="G43">
        <v>0.8</v>
      </c>
      <c r="H43">
        <v>2.91</v>
      </c>
      <c r="I43" s="33">
        <v>1.0731653174058118E-2</v>
      </c>
      <c r="J43" s="33">
        <v>0.42175903590650421</v>
      </c>
      <c r="K43" s="41" t="s">
        <v>37</v>
      </c>
      <c r="L43" s="33">
        <v>0.6272727272727272</v>
      </c>
      <c r="M43" s="41" t="s">
        <v>37</v>
      </c>
    </row>
    <row r="44" spans="1:13" x14ac:dyDescent="0.3">
      <c r="B44">
        <v>6</v>
      </c>
      <c r="C44">
        <v>75.75</v>
      </c>
      <c r="D44">
        <v>4.67</v>
      </c>
      <c r="E44" s="33">
        <v>0.36363636363636365</v>
      </c>
      <c r="F44">
        <v>7</v>
      </c>
      <c r="G44">
        <v>0.4</v>
      </c>
      <c r="H44">
        <v>2.23</v>
      </c>
      <c r="I44" s="33">
        <v>8.2198018141078633E-3</v>
      </c>
      <c r="J44" s="33">
        <v>0.25728538848349047</v>
      </c>
      <c r="K44" s="41" t="s">
        <v>37</v>
      </c>
      <c r="L44" s="33">
        <v>0.38181818181818183</v>
      </c>
      <c r="M44" s="41" t="s">
        <v>37</v>
      </c>
    </row>
    <row r="45" spans="1:13" x14ac:dyDescent="0.3">
      <c r="B45">
        <v>7</v>
      </c>
      <c r="C45">
        <v>17.5</v>
      </c>
      <c r="D45">
        <v>8.5</v>
      </c>
      <c r="E45" s="33">
        <v>0.88636363636363624</v>
      </c>
      <c r="F45">
        <v>8</v>
      </c>
      <c r="G45">
        <v>0.6</v>
      </c>
      <c r="H45">
        <v>0</v>
      </c>
      <c r="I45" s="33">
        <v>0</v>
      </c>
      <c r="J45" s="33">
        <v>0.49545454545454543</v>
      </c>
      <c r="K45" s="41" t="s">
        <v>37</v>
      </c>
      <c r="L45" s="33">
        <v>0.74318181818181817</v>
      </c>
      <c r="M45" s="41" t="s">
        <v>37</v>
      </c>
    </row>
    <row r="46" spans="1:13" x14ac:dyDescent="0.3">
      <c r="B46">
        <v>8</v>
      </c>
      <c r="C46">
        <v>37.75</v>
      </c>
      <c r="D46">
        <v>7.5</v>
      </c>
      <c r="E46" s="33">
        <v>0.74999999999999989</v>
      </c>
      <c r="F46">
        <v>6</v>
      </c>
      <c r="G46">
        <v>0.2</v>
      </c>
      <c r="H46">
        <v>1.78</v>
      </c>
      <c r="I46" s="33">
        <v>6.5609302461813335E-3</v>
      </c>
      <c r="J46" s="33">
        <v>0.31885364341539374</v>
      </c>
      <c r="K46" s="41" t="s">
        <v>37</v>
      </c>
      <c r="L46" s="33">
        <v>0.47499999999999998</v>
      </c>
      <c r="M46" s="41" t="s">
        <v>37</v>
      </c>
    </row>
    <row r="47" spans="1:13" x14ac:dyDescent="0.3">
      <c r="B47">
        <v>9</v>
      </c>
      <c r="C47">
        <v>6.5</v>
      </c>
      <c r="D47">
        <v>9.33</v>
      </c>
      <c r="E47" s="33">
        <v>1</v>
      </c>
      <c r="F47">
        <v>7</v>
      </c>
      <c r="G47">
        <v>0.4</v>
      </c>
      <c r="H47">
        <v>1</v>
      </c>
      <c r="I47" s="33">
        <v>3.690523263477E-3</v>
      </c>
      <c r="J47" s="33">
        <v>0.46789684108782559</v>
      </c>
      <c r="K47" s="41" t="s">
        <v>37</v>
      </c>
      <c r="L47" s="33">
        <v>0.7</v>
      </c>
      <c r="M47" s="41" t="s">
        <v>37</v>
      </c>
    </row>
    <row r="48" spans="1:13" x14ac:dyDescent="0.3">
      <c r="B48">
        <v>10</v>
      </c>
      <c r="C48">
        <v>7</v>
      </c>
      <c r="D48">
        <v>8.33</v>
      </c>
      <c r="E48" s="33">
        <v>0.86363636363636365</v>
      </c>
      <c r="F48">
        <v>8</v>
      </c>
      <c r="G48">
        <v>0.6</v>
      </c>
      <c r="H48">
        <v>0</v>
      </c>
      <c r="I48" s="33">
        <v>0</v>
      </c>
      <c r="J48" s="33">
        <v>0.48787878787878786</v>
      </c>
      <c r="K48" s="41" t="s">
        <v>37</v>
      </c>
      <c r="L48" s="33">
        <v>0.73181818181818181</v>
      </c>
      <c r="M48" s="41" t="s">
        <v>37</v>
      </c>
    </row>
    <row r="49" spans="1:13" x14ac:dyDescent="0.3">
      <c r="A49" t="s">
        <v>51</v>
      </c>
      <c r="B49">
        <v>1</v>
      </c>
      <c r="C49">
        <v>372.75</v>
      </c>
      <c r="D49">
        <v>6.5</v>
      </c>
      <c r="E49" s="33">
        <v>0.61363636363636354</v>
      </c>
      <c r="F49">
        <v>9</v>
      </c>
      <c r="G49">
        <v>0.8</v>
      </c>
      <c r="H49">
        <v>5.31</v>
      </c>
      <c r="I49" s="33">
        <v>1.9601858210836171E-2</v>
      </c>
      <c r="J49" s="33">
        <v>0.47774607394906654</v>
      </c>
      <c r="K49" s="41" t="s">
        <v>37</v>
      </c>
      <c r="L49" s="33">
        <v>0.70681818181818179</v>
      </c>
      <c r="M49" s="41" t="s">
        <v>37</v>
      </c>
    </row>
    <row r="50" spans="1:13" x14ac:dyDescent="0.3">
      <c r="B50">
        <v>2</v>
      </c>
      <c r="C50">
        <v>1518.5</v>
      </c>
      <c r="D50">
        <v>2.33</v>
      </c>
      <c r="E50" s="33">
        <v>4.545454545454547E-2</v>
      </c>
      <c r="F50">
        <v>9</v>
      </c>
      <c r="G50">
        <v>0.8</v>
      </c>
      <c r="H50">
        <v>57.09</v>
      </c>
      <c r="I50" s="33">
        <v>0.2106791982236822</v>
      </c>
      <c r="J50" s="33">
        <v>0.35204458122607585</v>
      </c>
      <c r="K50" s="41" t="s">
        <v>37</v>
      </c>
      <c r="L50" s="33">
        <v>0.42272727272727273</v>
      </c>
      <c r="M50" s="41" t="s">
        <v>37</v>
      </c>
    </row>
    <row r="51" spans="1:13" x14ac:dyDescent="0.3">
      <c r="B51">
        <v>3</v>
      </c>
      <c r="C51">
        <v>149.5</v>
      </c>
      <c r="D51">
        <v>5.83</v>
      </c>
      <c r="E51" s="33">
        <v>0.5227272727272726</v>
      </c>
      <c r="F51">
        <v>7</v>
      </c>
      <c r="G51">
        <v>0.4</v>
      </c>
      <c r="H51">
        <v>2.95</v>
      </c>
      <c r="I51" s="33">
        <v>1.0894140787379223E-2</v>
      </c>
      <c r="J51" s="33">
        <v>0.3112071378382173</v>
      </c>
      <c r="K51" s="41" t="s">
        <v>37</v>
      </c>
      <c r="L51" s="33">
        <v>0.46136363636363631</v>
      </c>
      <c r="M51" s="41" t="s">
        <v>37</v>
      </c>
    </row>
    <row r="52" spans="1:13" x14ac:dyDescent="0.3">
      <c r="B52">
        <v>4</v>
      </c>
      <c r="C52">
        <v>131.5</v>
      </c>
      <c r="D52">
        <v>6.17</v>
      </c>
      <c r="E52" s="33">
        <v>0.56818181818181812</v>
      </c>
      <c r="F52">
        <v>6</v>
      </c>
      <c r="G52">
        <v>0.2</v>
      </c>
      <c r="H52">
        <v>1.71</v>
      </c>
      <c r="I52" s="33">
        <v>6.300250428364307E-3</v>
      </c>
      <c r="J52" s="33">
        <v>0.25816068953672744</v>
      </c>
      <c r="K52" s="41" t="s">
        <v>37</v>
      </c>
      <c r="L52" s="33">
        <v>0.38409090909090904</v>
      </c>
      <c r="M52" s="41" t="s">
        <v>37</v>
      </c>
    </row>
    <row r="53" spans="1:13" x14ac:dyDescent="0.3">
      <c r="B53">
        <v>5</v>
      </c>
      <c r="C53">
        <v>58.5</v>
      </c>
      <c r="D53">
        <v>7.5</v>
      </c>
      <c r="E53" s="33">
        <v>0.74999999999999989</v>
      </c>
      <c r="F53">
        <v>8</v>
      </c>
      <c r="G53">
        <v>0.6</v>
      </c>
      <c r="H53">
        <v>1.81</v>
      </c>
      <c r="I53" s="33">
        <v>6.6890734150520624E-3</v>
      </c>
      <c r="J53" s="33">
        <v>0.4522296911383506</v>
      </c>
      <c r="K53" s="41" t="s">
        <v>37</v>
      </c>
      <c r="L53" s="33">
        <v>0.67499999999999993</v>
      </c>
      <c r="M53" s="41" t="s">
        <v>37</v>
      </c>
    </row>
    <row r="54" spans="1:13" x14ac:dyDescent="0.3">
      <c r="B54">
        <v>6</v>
      </c>
      <c r="C54">
        <v>61.5</v>
      </c>
      <c r="D54">
        <v>8.17</v>
      </c>
      <c r="E54" s="33">
        <v>0.84090909090909072</v>
      </c>
      <c r="F54">
        <v>9</v>
      </c>
      <c r="G54">
        <v>0.8</v>
      </c>
      <c r="H54">
        <v>2.96</v>
      </c>
      <c r="I54" s="33">
        <v>1.0929626587989578E-2</v>
      </c>
      <c r="J54" s="33">
        <v>0.55061290583236011</v>
      </c>
      <c r="K54" s="41" t="s">
        <v>37</v>
      </c>
      <c r="L54" s="33">
        <v>0.82045454545454533</v>
      </c>
      <c r="M54" s="43" t="s">
        <v>38</v>
      </c>
    </row>
    <row r="55" spans="1:13" x14ac:dyDescent="0.3">
      <c r="B55">
        <v>7</v>
      </c>
      <c r="C55">
        <v>29.25</v>
      </c>
      <c r="D55">
        <v>8.5</v>
      </c>
      <c r="E55" s="33">
        <v>0.88636363636363624</v>
      </c>
      <c r="F55">
        <v>8</v>
      </c>
      <c r="G55">
        <v>0.6</v>
      </c>
      <c r="H55">
        <v>1.75</v>
      </c>
      <c r="I55" s="33">
        <v>6.4584157110847504E-3</v>
      </c>
      <c r="J55" s="33">
        <v>0.49760735069157369</v>
      </c>
      <c r="K55" s="41" t="s">
        <v>37</v>
      </c>
      <c r="L55" s="33">
        <v>0.74318181818181817</v>
      </c>
      <c r="M55" s="41" t="s">
        <v>37</v>
      </c>
    </row>
    <row r="56" spans="1:13" x14ac:dyDescent="0.3">
      <c r="B56">
        <v>8</v>
      </c>
      <c r="C56">
        <v>46.75</v>
      </c>
      <c r="D56">
        <v>7</v>
      </c>
      <c r="E56" s="33">
        <v>0.68181818181818177</v>
      </c>
      <c r="F56">
        <v>9</v>
      </c>
      <c r="G56">
        <v>0.8</v>
      </c>
      <c r="H56">
        <v>2.33</v>
      </c>
      <c r="I56" s="33">
        <v>8.6112209481129989E-3</v>
      </c>
      <c r="J56" s="33">
        <v>0.49680980092209831</v>
      </c>
      <c r="K56" s="41" t="s">
        <v>37</v>
      </c>
      <c r="L56" s="33">
        <v>0.74090909090909096</v>
      </c>
      <c r="M56" s="41" t="s">
        <v>37</v>
      </c>
    </row>
    <row r="57" spans="1:13" x14ac:dyDescent="0.3">
      <c r="B57">
        <v>9</v>
      </c>
      <c r="C57">
        <v>17.5</v>
      </c>
      <c r="D57">
        <v>8.67</v>
      </c>
      <c r="E57" s="33">
        <v>0.90909090909090895</v>
      </c>
      <c r="F57">
        <v>8</v>
      </c>
      <c r="G57">
        <v>0.6</v>
      </c>
      <c r="H57">
        <v>0</v>
      </c>
      <c r="I57" s="33">
        <v>0</v>
      </c>
      <c r="J57" s="33">
        <v>0.50303030303030294</v>
      </c>
      <c r="K57" s="41" t="s">
        <v>37</v>
      </c>
      <c r="L57" s="33">
        <v>0.75454545454545441</v>
      </c>
      <c r="M57" s="43" t="s">
        <v>38</v>
      </c>
    </row>
    <row r="58" spans="1:13" x14ac:dyDescent="0.3">
      <c r="B58">
        <v>10</v>
      </c>
      <c r="C58">
        <v>29</v>
      </c>
      <c r="D58">
        <v>9</v>
      </c>
      <c r="E58" s="33">
        <v>0.95454545454545447</v>
      </c>
      <c r="F58">
        <v>9</v>
      </c>
      <c r="G58">
        <v>0.8</v>
      </c>
      <c r="H58">
        <v>0</v>
      </c>
      <c r="I58" s="33">
        <v>0</v>
      </c>
      <c r="J58" s="33">
        <v>0.58484848484848473</v>
      </c>
      <c r="K58" s="41" t="s">
        <v>37</v>
      </c>
      <c r="L58" s="33">
        <v>0.8772727272727272</v>
      </c>
      <c r="M58" s="43" t="s">
        <v>38</v>
      </c>
    </row>
    <row r="59" spans="1:13" x14ac:dyDescent="0.3">
      <c r="B59">
        <v>11</v>
      </c>
      <c r="C59">
        <v>37.75</v>
      </c>
      <c r="D59">
        <v>7</v>
      </c>
      <c r="E59" s="33">
        <v>0.68181818181818177</v>
      </c>
      <c r="F59">
        <v>9</v>
      </c>
      <c r="G59">
        <v>0.8</v>
      </c>
      <c r="H59">
        <v>1.78</v>
      </c>
      <c r="I59" s="33">
        <v>6.5609302461813335E-3</v>
      </c>
      <c r="J59" s="33">
        <v>0.49612637068812104</v>
      </c>
      <c r="K59" s="41" t="s">
        <v>37</v>
      </c>
      <c r="L59" s="33">
        <v>0.74090909090909096</v>
      </c>
      <c r="M59" s="41" t="s">
        <v>37</v>
      </c>
    </row>
    <row r="60" spans="1:13" x14ac:dyDescent="0.3">
      <c r="B60">
        <v>12</v>
      </c>
      <c r="C60">
        <v>9.25</v>
      </c>
      <c r="D60">
        <v>8</v>
      </c>
      <c r="E60" s="33">
        <v>0.81818181818181812</v>
      </c>
      <c r="F60">
        <v>9</v>
      </c>
      <c r="G60">
        <v>0.8</v>
      </c>
      <c r="H60">
        <v>1</v>
      </c>
      <c r="I60" s="33">
        <v>3.690523263477E-3</v>
      </c>
      <c r="J60" s="33">
        <v>0.54062411381509834</v>
      </c>
      <c r="K60" s="41" t="s">
        <v>37</v>
      </c>
      <c r="L60" s="33">
        <v>0.80909090909090908</v>
      </c>
      <c r="M60" s="43" t="s">
        <v>38</v>
      </c>
    </row>
    <row r="61" spans="1:13" x14ac:dyDescent="0.3">
      <c r="B61">
        <v>13</v>
      </c>
      <c r="C61">
        <v>26.5</v>
      </c>
      <c r="D61">
        <v>8</v>
      </c>
      <c r="E61" s="33">
        <v>0.81818181818181812</v>
      </c>
      <c r="F61">
        <v>9</v>
      </c>
      <c r="G61">
        <v>0.8</v>
      </c>
      <c r="H61">
        <v>1.08</v>
      </c>
      <c r="I61" s="33">
        <v>3.9980668687667493E-3</v>
      </c>
      <c r="J61" s="33">
        <v>0.54072662835019492</v>
      </c>
      <c r="K61" s="41" t="s">
        <v>37</v>
      </c>
      <c r="L61" s="33">
        <v>0.80909090909090908</v>
      </c>
      <c r="M61" s="43" t="s">
        <v>38</v>
      </c>
    </row>
    <row r="62" spans="1:13" x14ac:dyDescent="0.3">
      <c r="B62">
        <v>14</v>
      </c>
      <c r="C62">
        <v>6.5</v>
      </c>
      <c r="D62">
        <v>9.17</v>
      </c>
      <c r="E62" s="33">
        <v>0.97727272727272707</v>
      </c>
      <c r="F62">
        <v>9</v>
      </c>
      <c r="G62">
        <v>0.8</v>
      </c>
      <c r="H62">
        <v>1</v>
      </c>
      <c r="I62" s="33">
        <v>3.690523263477E-3</v>
      </c>
      <c r="J62" s="33">
        <v>0.59365441684540132</v>
      </c>
      <c r="K62" s="41" t="s">
        <v>37</v>
      </c>
      <c r="L62" s="33">
        <v>0.88863636363636356</v>
      </c>
      <c r="M62" s="43" t="s">
        <v>38</v>
      </c>
    </row>
    <row r="63" spans="1:13" x14ac:dyDescent="0.3">
      <c r="B63">
        <v>15</v>
      </c>
      <c r="C63">
        <v>7</v>
      </c>
      <c r="D63">
        <v>7.83</v>
      </c>
      <c r="E63" s="33">
        <v>0.7954545454545453</v>
      </c>
      <c r="F63">
        <v>8</v>
      </c>
      <c r="G63">
        <v>0.6</v>
      </c>
      <c r="H63">
        <v>0</v>
      </c>
      <c r="I63" s="33">
        <v>0</v>
      </c>
      <c r="J63" s="33">
        <v>0.46515151515151509</v>
      </c>
      <c r="K63" s="41" t="s">
        <v>37</v>
      </c>
      <c r="L63" s="33">
        <v>0.69772727272727264</v>
      </c>
      <c r="M63" s="41" t="s">
        <v>37</v>
      </c>
    </row>
    <row r="64" spans="1:13" x14ac:dyDescent="0.3">
      <c r="A64" t="s">
        <v>52</v>
      </c>
      <c r="B64">
        <v>1</v>
      </c>
      <c r="C64">
        <v>596.82000000000005</v>
      </c>
      <c r="D64">
        <v>5.33</v>
      </c>
      <c r="E64" s="33">
        <v>0.45454545454545447</v>
      </c>
      <c r="F64">
        <v>7</v>
      </c>
      <c r="G64">
        <v>0.4</v>
      </c>
      <c r="H64">
        <v>7.47</v>
      </c>
      <c r="I64" s="33">
        <v>2.755231902523322E-2</v>
      </c>
      <c r="J64" s="33">
        <v>0.29403259119022923</v>
      </c>
      <c r="K64" s="41" t="s">
        <v>37</v>
      </c>
      <c r="L64" s="33">
        <v>0.42727272727272725</v>
      </c>
      <c r="M64" s="41" t="s">
        <v>37</v>
      </c>
    </row>
    <row r="65" spans="1:13" x14ac:dyDescent="0.3">
      <c r="B65">
        <v>2</v>
      </c>
      <c r="C65">
        <v>683.55</v>
      </c>
      <c r="D65">
        <v>4.33</v>
      </c>
      <c r="E65" s="33">
        <v>0.31818181818181812</v>
      </c>
      <c r="F65">
        <v>8</v>
      </c>
      <c r="G65">
        <v>0.6</v>
      </c>
      <c r="H65">
        <v>15.56</v>
      </c>
      <c r="I65" s="33">
        <v>5.7426342234952604E-2</v>
      </c>
      <c r="J65" s="33">
        <v>0.32520272013892354</v>
      </c>
      <c r="K65" s="41" t="s">
        <v>37</v>
      </c>
      <c r="L65" s="33">
        <v>0.45909090909090905</v>
      </c>
      <c r="M65" s="41" t="s">
        <v>37</v>
      </c>
    </row>
    <row r="66" spans="1:13" x14ac:dyDescent="0.3">
      <c r="B66">
        <v>3</v>
      </c>
      <c r="C66">
        <v>514.01</v>
      </c>
      <c r="D66">
        <v>8</v>
      </c>
      <c r="E66" s="33">
        <v>0.81818181818181812</v>
      </c>
      <c r="F66">
        <v>8</v>
      </c>
      <c r="G66">
        <v>0.6</v>
      </c>
      <c r="H66">
        <v>8.2799999999999994</v>
      </c>
      <c r="I66" s="33">
        <v>3.0541130295974109E-2</v>
      </c>
      <c r="J66" s="33">
        <v>0.48290764949259735</v>
      </c>
      <c r="K66" s="41" t="s">
        <v>37</v>
      </c>
      <c r="L66" s="33">
        <v>0.70909090909090899</v>
      </c>
      <c r="M66" s="41" t="s">
        <v>37</v>
      </c>
    </row>
    <row r="67" spans="1:13" x14ac:dyDescent="0.3">
      <c r="B67">
        <v>4</v>
      </c>
      <c r="C67">
        <v>551.25</v>
      </c>
      <c r="D67">
        <v>4.67</v>
      </c>
      <c r="E67" s="33">
        <v>0.36363636363636365</v>
      </c>
      <c r="F67">
        <v>8</v>
      </c>
      <c r="G67">
        <v>0.6</v>
      </c>
      <c r="H67">
        <v>12.26</v>
      </c>
      <c r="I67" s="33">
        <v>4.5253016231229903E-2</v>
      </c>
      <c r="J67" s="33">
        <v>0.33629645995586449</v>
      </c>
      <c r="K67" s="41" t="s">
        <v>37</v>
      </c>
      <c r="L67" s="33">
        <v>0.48181818181818181</v>
      </c>
      <c r="M67" s="41" t="s">
        <v>37</v>
      </c>
    </row>
    <row r="68" spans="1:13" x14ac:dyDescent="0.3">
      <c r="B68">
        <v>5</v>
      </c>
      <c r="C68">
        <v>262.64</v>
      </c>
      <c r="D68">
        <v>6.17</v>
      </c>
      <c r="E68" s="33">
        <v>0.56818181818181812</v>
      </c>
      <c r="F68">
        <v>9</v>
      </c>
      <c r="G68">
        <v>0.8</v>
      </c>
      <c r="H68">
        <v>6.51</v>
      </c>
      <c r="I68" s="33">
        <v>2.4040502717496644E-2</v>
      </c>
      <c r="J68" s="33">
        <v>0.46407410696643825</v>
      </c>
      <c r="K68" s="41" t="s">
        <v>37</v>
      </c>
      <c r="L68" s="33">
        <v>0.68409090909090908</v>
      </c>
      <c r="M68" s="41" t="s">
        <v>37</v>
      </c>
    </row>
    <row r="69" spans="1:13" x14ac:dyDescent="0.3">
      <c r="A69" t="s">
        <v>53</v>
      </c>
      <c r="B69">
        <v>1</v>
      </c>
      <c r="C69">
        <v>287.63</v>
      </c>
      <c r="D69">
        <v>7.67</v>
      </c>
      <c r="E69" s="33">
        <v>0.77272727272727271</v>
      </c>
      <c r="F69">
        <v>9</v>
      </c>
      <c r="G69">
        <v>0.8</v>
      </c>
      <c r="H69">
        <v>5.7</v>
      </c>
      <c r="I69" s="33">
        <v>2.1038682984694617E-2</v>
      </c>
      <c r="J69" s="33">
        <v>0.53125531857065578</v>
      </c>
      <c r="K69" s="41" t="s">
        <v>37</v>
      </c>
      <c r="L69" s="33">
        <v>0.78636363636363638</v>
      </c>
      <c r="M69" s="43" t="s">
        <v>38</v>
      </c>
    </row>
    <row r="70" spans="1:13" x14ac:dyDescent="0.3">
      <c r="B70">
        <v>2</v>
      </c>
      <c r="C70">
        <v>182.28</v>
      </c>
      <c r="D70">
        <v>6.67</v>
      </c>
      <c r="E70" s="33">
        <v>0.63636363636363635</v>
      </c>
      <c r="F70">
        <v>9</v>
      </c>
      <c r="G70">
        <v>0.8</v>
      </c>
      <c r="H70">
        <v>2.2799999999999998</v>
      </c>
      <c r="I70" s="33">
        <v>8.4127884653956118E-3</v>
      </c>
      <c r="J70" s="33">
        <v>0.48159214160967734</v>
      </c>
      <c r="K70" s="41" t="s">
        <v>37</v>
      </c>
      <c r="L70" s="33">
        <v>0.71818181818181825</v>
      </c>
      <c r="M70" s="41" t="s">
        <v>37</v>
      </c>
    </row>
    <row r="71" spans="1:13" x14ac:dyDescent="0.3">
      <c r="B71">
        <v>3</v>
      </c>
      <c r="C71">
        <v>569.87</v>
      </c>
      <c r="D71">
        <v>6</v>
      </c>
      <c r="E71" s="33">
        <v>0.54545454545454541</v>
      </c>
      <c r="F71">
        <v>7</v>
      </c>
      <c r="G71">
        <v>0.4</v>
      </c>
      <c r="H71">
        <v>12</v>
      </c>
      <c r="I71" s="33">
        <v>4.4283704378051784E-2</v>
      </c>
      <c r="J71" s="33">
        <v>0.32991274994419906</v>
      </c>
      <c r="K71" s="41" t="s">
        <v>37</v>
      </c>
      <c r="L71" s="33">
        <v>0.47272727272727272</v>
      </c>
      <c r="M71" s="41" t="s">
        <v>37</v>
      </c>
    </row>
    <row r="72" spans="1:13" x14ac:dyDescent="0.3">
      <c r="B72">
        <v>4</v>
      </c>
      <c r="C72">
        <v>126.91</v>
      </c>
      <c r="D72">
        <v>6.67</v>
      </c>
      <c r="E72" s="33">
        <v>0.63636363636363635</v>
      </c>
      <c r="F72">
        <v>7</v>
      </c>
      <c r="G72">
        <v>0.4</v>
      </c>
      <c r="H72">
        <v>8.25</v>
      </c>
      <c r="I72" s="33">
        <v>3.0463850107978221E-2</v>
      </c>
      <c r="J72" s="33">
        <v>0.35560916215720484</v>
      </c>
      <c r="K72" s="41" t="s">
        <v>37</v>
      </c>
      <c r="L72" s="33">
        <v>0.51818181818181819</v>
      </c>
      <c r="M72" s="41" t="s">
        <v>37</v>
      </c>
    </row>
    <row r="73" spans="1:13" x14ac:dyDescent="0.3">
      <c r="B73">
        <v>5</v>
      </c>
      <c r="C73">
        <v>181.3</v>
      </c>
      <c r="D73">
        <v>8</v>
      </c>
      <c r="E73" s="33">
        <v>0.81818181818181812</v>
      </c>
      <c r="F73">
        <v>9</v>
      </c>
      <c r="G73">
        <v>0.8</v>
      </c>
      <c r="H73">
        <v>3.08</v>
      </c>
      <c r="I73" s="33">
        <v>1.1352459616595638E-2</v>
      </c>
      <c r="J73" s="33">
        <v>0.54317809259947125</v>
      </c>
      <c r="K73" s="41" t="s">
        <v>37</v>
      </c>
      <c r="L73" s="33">
        <v>0.80909090909090908</v>
      </c>
      <c r="M73" s="43" t="s">
        <v>38</v>
      </c>
    </row>
    <row r="74" spans="1:13" x14ac:dyDescent="0.3">
      <c r="B74">
        <v>6</v>
      </c>
      <c r="C74">
        <v>220.01</v>
      </c>
      <c r="D74">
        <v>7.33</v>
      </c>
      <c r="E74" s="33">
        <v>0.72727272727272718</v>
      </c>
      <c r="F74">
        <v>9</v>
      </c>
      <c r="G74">
        <v>0.8</v>
      </c>
      <c r="H74">
        <v>4.96</v>
      </c>
      <c r="I74" s="33">
        <v>1.8302758706080179E-2</v>
      </c>
      <c r="J74" s="33">
        <v>0.51519182865960245</v>
      </c>
      <c r="K74" s="41" t="s">
        <v>37</v>
      </c>
      <c r="L74" s="33">
        <v>0.76363636363636367</v>
      </c>
      <c r="M74" s="43" t="s">
        <v>38</v>
      </c>
    </row>
    <row r="75" spans="1:13" x14ac:dyDescent="0.3">
      <c r="B75">
        <v>7</v>
      </c>
      <c r="C75">
        <v>331.24</v>
      </c>
      <c r="D75">
        <v>7.5</v>
      </c>
      <c r="E75" s="33">
        <v>0.74999999999999989</v>
      </c>
      <c r="F75">
        <v>8</v>
      </c>
      <c r="G75">
        <v>0.6</v>
      </c>
      <c r="H75">
        <v>7.29</v>
      </c>
      <c r="I75" s="33">
        <v>2.6887404355094933E-2</v>
      </c>
      <c r="J75" s="33">
        <v>0.45896246811836489</v>
      </c>
      <c r="K75" s="41" t="s">
        <v>37</v>
      </c>
      <c r="L75" s="33">
        <v>0.67499999999999993</v>
      </c>
      <c r="M75" s="41" t="s">
        <v>37</v>
      </c>
    </row>
    <row r="76" spans="1:13" x14ac:dyDescent="0.3">
      <c r="B76">
        <v>8</v>
      </c>
      <c r="C76">
        <v>332.71</v>
      </c>
      <c r="D76">
        <v>7.33</v>
      </c>
      <c r="E76" s="33">
        <v>0.72727272727272718</v>
      </c>
      <c r="F76">
        <v>8</v>
      </c>
      <c r="G76">
        <v>0.6</v>
      </c>
      <c r="H76">
        <v>5.62</v>
      </c>
      <c r="I76" s="33">
        <v>2.0756786494060205E-2</v>
      </c>
      <c r="J76" s="33">
        <v>0.44934317125559575</v>
      </c>
      <c r="K76" s="41" t="s">
        <v>37</v>
      </c>
      <c r="L76" s="33">
        <v>0.66363636363636358</v>
      </c>
      <c r="M76" s="41" t="s">
        <v>37</v>
      </c>
    </row>
    <row r="77" spans="1:13" x14ac:dyDescent="0.3">
      <c r="B77">
        <v>9</v>
      </c>
      <c r="C77">
        <v>262.64</v>
      </c>
      <c r="D77">
        <v>5.17</v>
      </c>
      <c r="E77" s="33">
        <v>0.43181818181818182</v>
      </c>
      <c r="F77">
        <v>9</v>
      </c>
      <c r="G77">
        <v>0.8</v>
      </c>
      <c r="H77">
        <v>6.51</v>
      </c>
      <c r="I77" s="33">
        <v>2.4040502717496644E-2</v>
      </c>
      <c r="J77" s="33">
        <v>0.41861956151189283</v>
      </c>
      <c r="K77" s="41" t="s">
        <v>37</v>
      </c>
      <c r="L77" s="33">
        <v>0.61590909090909096</v>
      </c>
      <c r="M77" s="41" t="s">
        <v>37</v>
      </c>
    </row>
    <row r="78" spans="1:13" x14ac:dyDescent="0.3">
      <c r="B78">
        <v>10</v>
      </c>
      <c r="C78">
        <v>113.68</v>
      </c>
      <c r="D78">
        <v>7</v>
      </c>
      <c r="E78" s="33">
        <v>0.68181818181818177</v>
      </c>
      <c r="F78">
        <v>8</v>
      </c>
      <c r="G78">
        <v>0.6</v>
      </c>
      <c r="H78">
        <v>5.04</v>
      </c>
      <c r="I78" s="33">
        <v>1.858588521301056E-2</v>
      </c>
      <c r="J78" s="33">
        <v>0.43346802234373072</v>
      </c>
      <c r="K78" s="41" t="s">
        <v>37</v>
      </c>
      <c r="L78" s="33">
        <v>0.64090909090909087</v>
      </c>
      <c r="M78" s="41" t="s">
        <v>37</v>
      </c>
    </row>
    <row r="79" spans="1:13" x14ac:dyDescent="0.3">
      <c r="A79" t="s">
        <v>54</v>
      </c>
      <c r="B79">
        <v>1</v>
      </c>
      <c r="C79">
        <v>287.63</v>
      </c>
      <c r="D79">
        <v>8.17</v>
      </c>
      <c r="E79" s="33">
        <v>0.84090909090909072</v>
      </c>
      <c r="F79">
        <v>9</v>
      </c>
      <c r="G79">
        <v>0.8</v>
      </c>
      <c r="H79">
        <v>5.7</v>
      </c>
      <c r="I79" s="33">
        <v>2.1038682984694617E-2</v>
      </c>
      <c r="J79" s="33">
        <v>0.55398259129792837</v>
      </c>
      <c r="K79" s="41" t="s">
        <v>37</v>
      </c>
      <c r="L79" s="33">
        <v>0.82045454545454533</v>
      </c>
      <c r="M79" s="43" t="s">
        <v>38</v>
      </c>
    </row>
    <row r="80" spans="1:13" x14ac:dyDescent="0.3">
      <c r="B80">
        <v>2</v>
      </c>
      <c r="C80">
        <v>182.28</v>
      </c>
      <c r="D80">
        <v>6.83</v>
      </c>
      <c r="E80" s="33">
        <v>0.65909090909090895</v>
      </c>
      <c r="F80">
        <v>9</v>
      </c>
      <c r="G80">
        <v>0.8</v>
      </c>
      <c r="H80">
        <v>2.2799999999999998</v>
      </c>
      <c r="I80" s="33">
        <v>8.4127884653956118E-3</v>
      </c>
      <c r="J80" s="33">
        <v>0.4891678991854348</v>
      </c>
      <c r="K80" s="41" t="s">
        <v>37</v>
      </c>
      <c r="L80" s="33">
        <v>0.7295454545454545</v>
      </c>
      <c r="M80" s="41" t="s">
        <v>37</v>
      </c>
    </row>
    <row r="81" spans="1:13" x14ac:dyDescent="0.3">
      <c r="B81">
        <v>3</v>
      </c>
      <c r="C81">
        <v>177.87</v>
      </c>
      <c r="D81">
        <v>6.83</v>
      </c>
      <c r="E81" s="33">
        <v>0.65909090909090895</v>
      </c>
      <c r="F81">
        <v>8</v>
      </c>
      <c r="G81">
        <v>0.6</v>
      </c>
      <c r="H81">
        <v>2.5299999999999998</v>
      </c>
      <c r="I81" s="33">
        <v>9.3505257709753844E-3</v>
      </c>
      <c r="J81" s="33">
        <v>0.42281381162062803</v>
      </c>
      <c r="K81" s="41" t="s">
        <v>37</v>
      </c>
      <c r="L81" s="33">
        <v>0.62954545454545441</v>
      </c>
      <c r="M81" s="41" t="s">
        <v>37</v>
      </c>
    </row>
    <row r="82" spans="1:13" x14ac:dyDescent="0.3">
      <c r="B82">
        <v>4</v>
      </c>
      <c r="C82">
        <v>94.57</v>
      </c>
      <c r="D82">
        <v>6.17</v>
      </c>
      <c r="E82" s="33">
        <v>0.56818181818181812</v>
      </c>
      <c r="F82">
        <v>9</v>
      </c>
      <c r="G82">
        <v>0.8</v>
      </c>
      <c r="H82">
        <v>6.64</v>
      </c>
      <c r="I82" s="33">
        <v>2.4495009406041435E-2</v>
      </c>
      <c r="J82" s="33">
        <v>0.46422560919595318</v>
      </c>
      <c r="K82" s="41" t="s">
        <v>37</v>
      </c>
      <c r="L82" s="33">
        <v>0.68409090909090908</v>
      </c>
      <c r="M82" s="41" t="s">
        <v>37</v>
      </c>
    </row>
    <row r="83" spans="1:13" x14ac:dyDescent="0.3">
      <c r="B83">
        <v>5</v>
      </c>
      <c r="C83">
        <v>32.340000000000003</v>
      </c>
      <c r="D83">
        <v>6</v>
      </c>
      <c r="E83" s="33">
        <v>0.54545454545454541</v>
      </c>
      <c r="F83">
        <v>9</v>
      </c>
      <c r="G83">
        <v>0.8</v>
      </c>
      <c r="H83">
        <v>2.87</v>
      </c>
      <c r="I83" s="33">
        <v>1.059180176617899E-2</v>
      </c>
      <c r="J83" s="33">
        <v>0.45201544907357483</v>
      </c>
      <c r="K83" s="41" t="s">
        <v>37</v>
      </c>
      <c r="L83" s="33">
        <v>0.67272727272727273</v>
      </c>
      <c r="M83" s="41" t="s">
        <v>37</v>
      </c>
    </row>
    <row r="84" spans="1:13" x14ac:dyDescent="0.3">
      <c r="B84">
        <v>6</v>
      </c>
      <c r="C84">
        <v>181.3</v>
      </c>
      <c r="D84">
        <v>7.5</v>
      </c>
      <c r="E84" s="33">
        <v>0.74999999999999989</v>
      </c>
      <c r="F84">
        <v>9</v>
      </c>
      <c r="G84">
        <v>0.8</v>
      </c>
      <c r="H84">
        <v>3.08</v>
      </c>
      <c r="I84" s="33">
        <v>1.1352459616595638E-2</v>
      </c>
      <c r="J84" s="33">
        <v>0.52045081987219843</v>
      </c>
      <c r="K84" s="41" t="s">
        <v>37</v>
      </c>
      <c r="L84" s="33">
        <v>0.77499999999999991</v>
      </c>
      <c r="M84" s="43" t="s">
        <v>38</v>
      </c>
    </row>
    <row r="85" spans="1:13" x14ac:dyDescent="0.3">
      <c r="B85">
        <v>7</v>
      </c>
      <c r="C85">
        <v>220.01</v>
      </c>
      <c r="D85">
        <v>5.67</v>
      </c>
      <c r="E85" s="33">
        <v>0.5</v>
      </c>
      <c r="F85">
        <v>9</v>
      </c>
      <c r="G85">
        <v>0.8</v>
      </c>
      <c r="H85">
        <v>4.96</v>
      </c>
      <c r="I85" s="33">
        <v>1.8302758706080179E-2</v>
      </c>
      <c r="J85" s="33">
        <v>0.43943425290202676</v>
      </c>
      <c r="K85" s="41" t="s">
        <v>37</v>
      </c>
      <c r="L85" s="33">
        <v>0.65</v>
      </c>
      <c r="M85" s="41" t="s">
        <v>37</v>
      </c>
    </row>
    <row r="86" spans="1:13" x14ac:dyDescent="0.3">
      <c r="B86">
        <v>8</v>
      </c>
      <c r="C86">
        <v>249.9</v>
      </c>
      <c r="D86">
        <v>7.17</v>
      </c>
      <c r="E86" s="33">
        <v>0.70454545454545447</v>
      </c>
      <c r="F86">
        <v>9</v>
      </c>
      <c r="G86">
        <v>0.8</v>
      </c>
      <c r="H86">
        <v>4.45</v>
      </c>
      <c r="I86" s="33">
        <v>1.64075263528436E-2</v>
      </c>
      <c r="J86" s="33">
        <v>0.5069843269660993</v>
      </c>
      <c r="K86" s="41" t="s">
        <v>37</v>
      </c>
      <c r="L86" s="33">
        <v>0.7522727272727272</v>
      </c>
      <c r="M86" s="43" t="s">
        <v>38</v>
      </c>
    </row>
    <row r="87" spans="1:13" x14ac:dyDescent="0.3">
      <c r="B87">
        <v>9</v>
      </c>
      <c r="C87">
        <v>196.98</v>
      </c>
      <c r="D87">
        <v>8</v>
      </c>
      <c r="E87" s="33">
        <v>0.81818181818181812</v>
      </c>
      <c r="F87">
        <v>8</v>
      </c>
      <c r="G87">
        <v>0.6</v>
      </c>
      <c r="H87">
        <v>6.62</v>
      </c>
      <c r="I87" s="33">
        <v>2.4412811387900357E-2</v>
      </c>
      <c r="J87" s="33">
        <v>0.48086487652323939</v>
      </c>
      <c r="K87" s="41" t="s">
        <v>37</v>
      </c>
      <c r="L87" s="33">
        <v>0.70909090909090899</v>
      </c>
      <c r="M87" s="41" t="s">
        <v>37</v>
      </c>
    </row>
    <row r="88" spans="1:13" x14ac:dyDescent="0.3">
      <c r="B88">
        <v>10</v>
      </c>
      <c r="C88">
        <v>157.29</v>
      </c>
      <c r="D88">
        <v>5.67</v>
      </c>
      <c r="E88" s="33">
        <v>0.5</v>
      </c>
      <c r="F88">
        <v>7</v>
      </c>
      <c r="G88">
        <v>0.4</v>
      </c>
      <c r="H88">
        <v>5.93</v>
      </c>
      <c r="I88" s="33">
        <v>2.1890630094413575E-2</v>
      </c>
      <c r="J88" s="33">
        <v>0.30729687669813788</v>
      </c>
      <c r="K88" s="41" t="s">
        <v>37</v>
      </c>
      <c r="L88" s="33">
        <v>0.45</v>
      </c>
      <c r="M88" s="41" t="s">
        <v>37</v>
      </c>
    </row>
    <row r="89" spans="1:13" x14ac:dyDescent="0.3">
      <c r="B89">
        <v>11</v>
      </c>
      <c r="C89">
        <v>234.71</v>
      </c>
      <c r="D89">
        <v>6.67</v>
      </c>
      <c r="E89" s="33">
        <v>0.63636363636363635</v>
      </c>
      <c r="F89">
        <v>8</v>
      </c>
      <c r="G89">
        <v>0.6</v>
      </c>
      <c r="H89">
        <v>3.83</v>
      </c>
      <c r="I89" s="33">
        <v>1.415235442776832E-2</v>
      </c>
      <c r="J89" s="33">
        <v>0.4168386635971349</v>
      </c>
      <c r="K89" s="41" t="s">
        <v>37</v>
      </c>
      <c r="L89" s="33">
        <v>0.61818181818181817</v>
      </c>
      <c r="M89" s="41" t="s">
        <v>37</v>
      </c>
    </row>
    <row r="90" spans="1:13" x14ac:dyDescent="0.3">
      <c r="B90">
        <v>12</v>
      </c>
      <c r="C90">
        <v>262.64</v>
      </c>
      <c r="D90">
        <v>3.67</v>
      </c>
      <c r="E90" s="33">
        <v>0.22727272727272724</v>
      </c>
      <c r="F90">
        <v>10</v>
      </c>
      <c r="G90">
        <v>1</v>
      </c>
      <c r="H90">
        <v>6.51</v>
      </c>
      <c r="I90" s="33">
        <v>2.4040502717496644E-2</v>
      </c>
      <c r="J90" s="33">
        <v>0.41710440999674125</v>
      </c>
      <c r="K90" s="41" t="s">
        <v>37</v>
      </c>
      <c r="L90" s="33">
        <v>0.61363636363636365</v>
      </c>
      <c r="M90" s="41" t="s">
        <v>37</v>
      </c>
    </row>
    <row r="91" spans="1:13" x14ac:dyDescent="0.3">
      <c r="B91">
        <v>13</v>
      </c>
      <c r="C91">
        <v>135.72999999999999</v>
      </c>
      <c r="D91">
        <v>8.83</v>
      </c>
      <c r="E91" s="33">
        <v>0.93181818181818188</v>
      </c>
      <c r="F91">
        <v>8</v>
      </c>
      <c r="G91">
        <v>0.6</v>
      </c>
      <c r="H91">
        <v>2.34</v>
      </c>
      <c r="I91" s="33">
        <v>8.6244689803408655E-3</v>
      </c>
      <c r="J91" s="33">
        <v>0.5134808835995075</v>
      </c>
      <c r="K91" s="41" t="s">
        <v>37</v>
      </c>
      <c r="L91" s="33">
        <v>0.76590909090909087</v>
      </c>
      <c r="M91" s="43" t="s">
        <v>38</v>
      </c>
    </row>
    <row r="92" spans="1:13" x14ac:dyDescent="0.3">
      <c r="B92">
        <v>14</v>
      </c>
      <c r="C92">
        <v>113.68</v>
      </c>
      <c r="D92">
        <v>7</v>
      </c>
      <c r="E92" s="33">
        <v>0.68181818181818177</v>
      </c>
      <c r="F92">
        <v>8</v>
      </c>
      <c r="G92">
        <v>0.6</v>
      </c>
      <c r="H92">
        <v>5.04</v>
      </c>
      <c r="I92" s="33">
        <v>1.858588521301056E-2</v>
      </c>
      <c r="J92" s="33">
        <v>0.43346802234373072</v>
      </c>
      <c r="K92" s="41" t="s">
        <v>37</v>
      </c>
      <c r="L92" s="33">
        <v>0.64090909090909087</v>
      </c>
      <c r="M92" s="41" t="s">
        <v>37</v>
      </c>
    </row>
    <row r="93" spans="1:13" x14ac:dyDescent="0.3">
      <c r="B93">
        <v>15</v>
      </c>
      <c r="C93">
        <v>81.34</v>
      </c>
      <c r="D93">
        <v>7.33</v>
      </c>
      <c r="E93" s="33">
        <v>0.72727272727272718</v>
      </c>
      <c r="F93">
        <v>8</v>
      </c>
      <c r="G93">
        <v>0.6</v>
      </c>
      <c r="H93">
        <v>2.65</v>
      </c>
      <c r="I93" s="33">
        <v>9.7651245551601418E-3</v>
      </c>
      <c r="J93" s="33">
        <v>0.44567928394262912</v>
      </c>
      <c r="K93" s="41" t="s">
        <v>37</v>
      </c>
      <c r="L93" s="33">
        <v>0.66363636363636358</v>
      </c>
      <c r="M93" s="41" t="s">
        <v>37</v>
      </c>
    </row>
    <row r="94" spans="1:13" x14ac:dyDescent="0.3">
      <c r="A94" t="s">
        <v>55</v>
      </c>
      <c r="B94">
        <v>1</v>
      </c>
      <c r="C94">
        <v>1134.3499999999999</v>
      </c>
      <c r="D94">
        <v>3.17</v>
      </c>
      <c r="E94" s="33">
        <v>0.15909090909090906</v>
      </c>
      <c r="F94">
        <v>8</v>
      </c>
      <c r="G94">
        <v>0.6</v>
      </c>
      <c r="H94">
        <v>21.93</v>
      </c>
      <c r="I94" s="33">
        <v>8.0942032423882954E-2</v>
      </c>
      <c r="J94" s="33">
        <v>0.28001098050493067</v>
      </c>
      <c r="K94" s="41" t="s">
        <v>37</v>
      </c>
      <c r="L94" s="33">
        <v>0.37954545454545452</v>
      </c>
      <c r="M94" s="41" t="s">
        <v>37</v>
      </c>
    </row>
    <row r="95" spans="1:13" x14ac:dyDescent="0.3">
      <c r="B95">
        <v>2</v>
      </c>
      <c r="C95">
        <v>734.51</v>
      </c>
      <c r="D95">
        <v>4.5</v>
      </c>
      <c r="E95" s="33">
        <v>0.34090909090909088</v>
      </c>
      <c r="F95">
        <v>8</v>
      </c>
      <c r="G95">
        <v>0.6</v>
      </c>
      <c r="H95">
        <v>13.74</v>
      </c>
      <c r="I95" s="33">
        <v>5.0706313430868587E-2</v>
      </c>
      <c r="J95" s="33">
        <v>0.33053846811331983</v>
      </c>
      <c r="K95" s="41" t="s">
        <v>37</v>
      </c>
      <c r="L95" s="33">
        <v>0.47045454545454546</v>
      </c>
      <c r="M95" s="41" t="s">
        <v>37</v>
      </c>
    </row>
    <row r="96" spans="1:13" x14ac:dyDescent="0.3">
      <c r="B96">
        <v>3</v>
      </c>
      <c r="C96">
        <v>286.16000000000003</v>
      </c>
      <c r="D96">
        <v>5.33</v>
      </c>
      <c r="E96" s="33">
        <v>0.45454545454545447</v>
      </c>
      <c r="F96">
        <v>8</v>
      </c>
      <c r="G96">
        <v>0.6</v>
      </c>
      <c r="H96">
        <v>6.82</v>
      </c>
      <c r="I96" s="33">
        <v>2.516198761038619E-2</v>
      </c>
      <c r="J96" s="33">
        <v>0.35990248071861353</v>
      </c>
      <c r="K96" s="41" t="s">
        <v>37</v>
      </c>
      <c r="L96" s="33">
        <v>0.52727272727272723</v>
      </c>
      <c r="M96" s="41" t="s">
        <v>37</v>
      </c>
    </row>
    <row r="97" spans="1:13" x14ac:dyDescent="0.3">
      <c r="B97">
        <v>4</v>
      </c>
      <c r="C97">
        <v>441.98</v>
      </c>
      <c r="D97">
        <v>2</v>
      </c>
      <c r="E97" s="33">
        <v>0</v>
      </c>
      <c r="F97">
        <v>9</v>
      </c>
      <c r="G97">
        <v>0.8</v>
      </c>
      <c r="H97">
        <v>8.59</v>
      </c>
      <c r="I97" s="33">
        <v>3.1687335993385815E-2</v>
      </c>
      <c r="J97" s="33">
        <v>0.27722911199779526</v>
      </c>
      <c r="K97" s="41" t="s">
        <v>37</v>
      </c>
      <c r="L97" s="33">
        <v>0.4</v>
      </c>
      <c r="M97" s="41" t="s">
        <v>37</v>
      </c>
    </row>
    <row r="98" spans="1:13" x14ac:dyDescent="0.3">
      <c r="B98">
        <v>5</v>
      </c>
      <c r="C98">
        <v>11.27</v>
      </c>
      <c r="D98">
        <v>5.17</v>
      </c>
      <c r="E98" s="33">
        <v>0.43181818181818182</v>
      </c>
      <c r="F98">
        <v>6</v>
      </c>
      <c r="G98">
        <v>0.2</v>
      </c>
      <c r="H98">
        <v>2.94</v>
      </c>
      <c r="I98" s="33">
        <v>1.085013839462238E-2</v>
      </c>
      <c r="J98" s="33">
        <v>0.21422277340426804</v>
      </c>
      <c r="K98" s="42" t="s">
        <v>36</v>
      </c>
      <c r="L98" s="33">
        <v>0.31590909090909092</v>
      </c>
      <c r="M98" s="41" t="s">
        <v>37</v>
      </c>
    </row>
    <row r="99" spans="1:13" x14ac:dyDescent="0.3">
      <c r="A99" t="s">
        <v>56</v>
      </c>
      <c r="B99">
        <v>1</v>
      </c>
      <c r="C99">
        <v>862.89</v>
      </c>
      <c r="D99">
        <v>5</v>
      </c>
      <c r="E99" s="33">
        <v>0.40909090909090906</v>
      </c>
      <c r="F99">
        <v>9</v>
      </c>
      <c r="G99">
        <v>0.8</v>
      </c>
      <c r="H99">
        <v>13.99</v>
      </c>
      <c r="I99" s="33">
        <v>5.1631693050272029E-2</v>
      </c>
      <c r="J99" s="33">
        <v>0.42024086738039368</v>
      </c>
      <c r="K99" s="41" t="s">
        <v>37</v>
      </c>
      <c r="L99" s="33">
        <v>0.6045454545454545</v>
      </c>
      <c r="M99" s="41" t="s">
        <v>37</v>
      </c>
    </row>
    <row r="100" spans="1:13" x14ac:dyDescent="0.3">
      <c r="B100">
        <v>2</v>
      </c>
      <c r="C100">
        <v>734.51</v>
      </c>
      <c r="D100">
        <v>6.33</v>
      </c>
      <c r="E100" s="33">
        <v>0.59090909090909083</v>
      </c>
      <c r="F100">
        <v>8</v>
      </c>
      <c r="G100">
        <v>0.6</v>
      </c>
      <c r="H100">
        <v>13.74</v>
      </c>
      <c r="I100" s="33">
        <v>5.0706313430868587E-2</v>
      </c>
      <c r="J100" s="33">
        <v>0.41387180144665314</v>
      </c>
      <c r="K100" s="41" t="s">
        <v>37</v>
      </c>
      <c r="L100" s="33">
        <v>0.59545454545454546</v>
      </c>
      <c r="M100" s="41" t="s">
        <v>37</v>
      </c>
    </row>
    <row r="101" spans="1:13" x14ac:dyDescent="0.3">
      <c r="B101">
        <v>3</v>
      </c>
      <c r="C101">
        <v>286.16000000000003</v>
      </c>
      <c r="D101">
        <v>5.5</v>
      </c>
      <c r="E101" s="33">
        <v>0.47727272727272724</v>
      </c>
      <c r="F101">
        <v>8</v>
      </c>
      <c r="G101">
        <v>0.6</v>
      </c>
      <c r="H101">
        <v>6.82</v>
      </c>
      <c r="I101" s="33">
        <v>2.516198761038619E-2</v>
      </c>
      <c r="J101" s="33">
        <v>0.3674782382943711</v>
      </c>
      <c r="K101" s="41" t="s">
        <v>37</v>
      </c>
      <c r="L101" s="33">
        <v>0.53863636363636358</v>
      </c>
      <c r="M101" s="41" t="s">
        <v>37</v>
      </c>
    </row>
    <row r="102" spans="1:13" x14ac:dyDescent="0.3">
      <c r="B102">
        <v>4</v>
      </c>
      <c r="C102">
        <v>207.76</v>
      </c>
      <c r="D102">
        <v>3</v>
      </c>
      <c r="E102" s="33">
        <v>0.13636363636363635</v>
      </c>
      <c r="F102">
        <v>7</v>
      </c>
      <c r="G102">
        <v>0.4</v>
      </c>
      <c r="H102">
        <v>5.54</v>
      </c>
      <c r="I102" s="33">
        <v>2.0453134445035291E-2</v>
      </c>
      <c r="J102" s="33">
        <v>0.1856055902695572</v>
      </c>
      <c r="K102" s="42" t="s">
        <v>36</v>
      </c>
      <c r="L102" s="33">
        <v>0.26818181818181819</v>
      </c>
      <c r="M102" s="41" t="s">
        <v>37</v>
      </c>
    </row>
    <row r="103" spans="1:13" x14ac:dyDescent="0.3">
      <c r="B103">
        <v>5</v>
      </c>
      <c r="C103">
        <v>116.62</v>
      </c>
      <c r="D103">
        <v>6.33</v>
      </c>
      <c r="E103" s="33">
        <v>0.59090909090909083</v>
      </c>
      <c r="F103">
        <v>8</v>
      </c>
      <c r="G103">
        <v>0.6</v>
      </c>
      <c r="H103">
        <v>4.26</v>
      </c>
      <c r="I103" s="33">
        <v>1.5704147676427128E-2</v>
      </c>
      <c r="J103" s="33">
        <v>0.40220441286183928</v>
      </c>
      <c r="K103" s="41" t="s">
        <v>37</v>
      </c>
      <c r="L103" s="33">
        <v>0.59545454545454546</v>
      </c>
      <c r="M103" s="41" t="s">
        <v>37</v>
      </c>
    </row>
    <row r="104" spans="1:13" x14ac:dyDescent="0.3">
      <c r="B104">
        <v>6</v>
      </c>
      <c r="C104">
        <v>302.82</v>
      </c>
      <c r="D104">
        <v>4.5</v>
      </c>
      <c r="E104" s="33">
        <v>0.34090909090909088</v>
      </c>
      <c r="F104">
        <v>9</v>
      </c>
      <c r="G104">
        <v>0.8</v>
      </c>
      <c r="H104">
        <v>6.5</v>
      </c>
      <c r="I104" s="33">
        <v>2.3972314316323809E-2</v>
      </c>
      <c r="J104" s="33">
        <v>0.38829380174180483</v>
      </c>
      <c r="K104" s="41" t="s">
        <v>37</v>
      </c>
      <c r="L104" s="33">
        <v>0.57045454545454544</v>
      </c>
      <c r="M104" s="41" t="s">
        <v>37</v>
      </c>
    </row>
    <row r="105" spans="1:13" x14ac:dyDescent="0.3">
      <c r="B105">
        <v>7</v>
      </c>
      <c r="C105">
        <v>38.22</v>
      </c>
      <c r="D105">
        <v>6.67</v>
      </c>
      <c r="E105" s="33">
        <v>0.63636363636363635</v>
      </c>
      <c r="F105">
        <v>8</v>
      </c>
      <c r="G105">
        <v>0.6</v>
      </c>
      <c r="H105">
        <v>3.99</v>
      </c>
      <c r="I105" s="33">
        <v>1.4725187821273231E-2</v>
      </c>
      <c r="J105" s="33">
        <v>0.41702960806163653</v>
      </c>
      <c r="K105" s="41" t="s">
        <v>37</v>
      </c>
      <c r="L105" s="33">
        <v>0.61818181818181817</v>
      </c>
      <c r="M105" s="41" t="s">
        <v>37</v>
      </c>
    </row>
    <row r="106" spans="1:13" x14ac:dyDescent="0.3">
      <c r="B106">
        <v>8</v>
      </c>
      <c r="C106">
        <v>25.48</v>
      </c>
      <c r="D106">
        <v>6.33</v>
      </c>
      <c r="E106" s="33">
        <v>0.59090909090909083</v>
      </c>
      <c r="F106">
        <v>9</v>
      </c>
      <c r="G106">
        <v>0.8</v>
      </c>
      <c r="H106">
        <v>2.38</v>
      </c>
      <c r="I106" s="33">
        <v>8.7834453670752599E-3</v>
      </c>
      <c r="J106" s="33">
        <v>0.46656417875872203</v>
      </c>
      <c r="K106" s="41" t="s">
        <v>37</v>
      </c>
      <c r="L106" s="33">
        <v>0.69545454545454544</v>
      </c>
      <c r="M106" s="41" t="s">
        <v>37</v>
      </c>
    </row>
    <row r="107" spans="1:13" x14ac:dyDescent="0.3">
      <c r="B107">
        <v>9</v>
      </c>
      <c r="C107">
        <v>22.54</v>
      </c>
      <c r="D107">
        <v>5</v>
      </c>
      <c r="E107" s="33">
        <v>0.40909090909090906</v>
      </c>
      <c r="F107">
        <v>9</v>
      </c>
      <c r="G107">
        <v>0.8</v>
      </c>
      <c r="H107">
        <v>2.4500000000000002</v>
      </c>
      <c r="I107" s="33">
        <v>9.0417819955186506E-3</v>
      </c>
      <c r="J107" s="33">
        <v>0.40604423036214254</v>
      </c>
      <c r="K107" s="41" t="s">
        <v>37</v>
      </c>
      <c r="L107" s="33">
        <v>0.6045454545454545</v>
      </c>
      <c r="M107" s="41" t="s">
        <v>37</v>
      </c>
    </row>
    <row r="108" spans="1:13" x14ac:dyDescent="0.3">
      <c r="B108">
        <v>10</v>
      </c>
      <c r="C108">
        <v>11.27</v>
      </c>
      <c r="D108">
        <v>5.83</v>
      </c>
      <c r="E108" s="33">
        <v>0.5227272727272726</v>
      </c>
      <c r="F108">
        <v>7</v>
      </c>
      <c r="G108">
        <v>0.4</v>
      </c>
      <c r="H108">
        <v>2.94</v>
      </c>
      <c r="I108" s="33">
        <v>1.085013839462238E-2</v>
      </c>
      <c r="J108" s="33">
        <v>0.31119247037396497</v>
      </c>
      <c r="K108" s="41" t="s">
        <v>37</v>
      </c>
      <c r="L108" s="33">
        <v>0.46136363636363631</v>
      </c>
      <c r="M108" s="41" t="s">
        <v>37</v>
      </c>
    </row>
    <row r="109" spans="1:13" x14ac:dyDescent="0.3">
      <c r="A109" t="s">
        <v>57</v>
      </c>
      <c r="B109">
        <v>1</v>
      </c>
      <c r="C109">
        <v>862.89</v>
      </c>
      <c r="D109">
        <v>5.33</v>
      </c>
      <c r="E109" s="33">
        <v>0.45454545454545447</v>
      </c>
      <c r="F109">
        <v>8</v>
      </c>
      <c r="G109">
        <v>0.6</v>
      </c>
      <c r="H109">
        <v>13.99</v>
      </c>
      <c r="I109" s="33">
        <v>5.1631693050272029E-2</v>
      </c>
      <c r="J109" s="33">
        <v>0.36872571586524217</v>
      </c>
      <c r="K109" s="41" t="s">
        <v>37</v>
      </c>
      <c r="L109" s="33">
        <v>0.52727272727272723</v>
      </c>
      <c r="M109" s="41" t="s">
        <v>37</v>
      </c>
    </row>
    <row r="110" spans="1:13" x14ac:dyDescent="0.3">
      <c r="B110">
        <v>2</v>
      </c>
      <c r="C110">
        <v>733.53</v>
      </c>
      <c r="D110">
        <v>5.33</v>
      </c>
      <c r="E110" s="33">
        <v>0.45454545454545447</v>
      </c>
      <c r="F110">
        <v>8</v>
      </c>
      <c r="G110">
        <v>0.6</v>
      </c>
      <c r="H110">
        <v>13.72</v>
      </c>
      <c r="I110" s="33">
        <v>5.0633979174904441E-2</v>
      </c>
      <c r="J110" s="33">
        <v>0.36839314457345296</v>
      </c>
      <c r="K110" s="41" t="s">
        <v>37</v>
      </c>
      <c r="L110" s="33">
        <v>0.52727272727272723</v>
      </c>
      <c r="M110" s="41" t="s">
        <v>37</v>
      </c>
    </row>
    <row r="111" spans="1:13" x14ac:dyDescent="0.3">
      <c r="B111">
        <v>3</v>
      </c>
      <c r="C111">
        <v>164.64</v>
      </c>
      <c r="D111">
        <v>6.17</v>
      </c>
      <c r="E111" s="33">
        <v>0.56818181818181812</v>
      </c>
      <c r="F111">
        <v>9</v>
      </c>
      <c r="G111">
        <v>0.8</v>
      </c>
      <c r="H111">
        <v>3.74</v>
      </c>
      <c r="I111" s="33">
        <v>1.3803787179825141E-2</v>
      </c>
      <c r="J111" s="33">
        <v>0.46066186845388107</v>
      </c>
      <c r="K111" s="41" t="s">
        <v>37</v>
      </c>
      <c r="L111" s="33">
        <v>0.68409090909090908</v>
      </c>
      <c r="M111" s="41" t="s">
        <v>37</v>
      </c>
    </row>
    <row r="112" spans="1:13" x14ac:dyDescent="0.3">
      <c r="B112">
        <v>4</v>
      </c>
      <c r="C112">
        <v>13.72</v>
      </c>
      <c r="D112">
        <v>8.5</v>
      </c>
      <c r="E112" s="33">
        <v>0.88636363636363624</v>
      </c>
      <c r="F112">
        <v>9</v>
      </c>
      <c r="G112">
        <v>0.8</v>
      </c>
      <c r="H112">
        <v>2.94</v>
      </c>
      <c r="I112" s="33">
        <v>1.085013839462238E-2</v>
      </c>
      <c r="J112" s="33">
        <v>0.56573792491941954</v>
      </c>
      <c r="K112" s="41" t="s">
        <v>37</v>
      </c>
      <c r="L112" s="33">
        <v>0.84318181818181814</v>
      </c>
      <c r="M112" s="43" t="s">
        <v>38</v>
      </c>
    </row>
    <row r="113" spans="1:13" x14ac:dyDescent="0.3">
      <c r="B113">
        <v>5</v>
      </c>
      <c r="C113">
        <v>105.84</v>
      </c>
      <c r="D113">
        <v>8.83</v>
      </c>
      <c r="E113" s="33">
        <v>0.93181818181818188</v>
      </c>
      <c r="F113">
        <v>9</v>
      </c>
      <c r="G113">
        <v>0.8</v>
      </c>
      <c r="H113">
        <v>3.63</v>
      </c>
      <c r="I113" s="33">
        <v>1.3411976626685999E-2</v>
      </c>
      <c r="J113" s="33">
        <v>0.58174338614828924</v>
      </c>
      <c r="K113" s="41" t="s">
        <v>37</v>
      </c>
      <c r="L113" s="33">
        <v>0.86590909090909096</v>
      </c>
      <c r="M113" s="43" t="s">
        <v>38</v>
      </c>
    </row>
    <row r="114" spans="1:13" x14ac:dyDescent="0.3">
      <c r="B114">
        <v>6</v>
      </c>
      <c r="C114">
        <v>116.62</v>
      </c>
      <c r="D114">
        <v>8.83</v>
      </c>
      <c r="E114" s="33">
        <v>0.93181818181818188</v>
      </c>
      <c r="F114">
        <v>9</v>
      </c>
      <c r="G114">
        <v>0.8</v>
      </c>
      <c r="H114">
        <v>4.26</v>
      </c>
      <c r="I114" s="33">
        <v>1.5704147676427128E-2</v>
      </c>
      <c r="J114" s="33">
        <v>0.58250744316486958</v>
      </c>
      <c r="K114" s="41" t="s">
        <v>37</v>
      </c>
      <c r="L114" s="33">
        <v>0.86590909090909096</v>
      </c>
      <c r="M114" s="43" t="s">
        <v>38</v>
      </c>
    </row>
    <row r="115" spans="1:13" x14ac:dyDescent="0.3">
      <c r="B115">
        <v>7</v>
      </c>
      <c r="C115">
        <v>302.82</v>
      </c>
      <c r="D115">
        <v>6</v>
      </c>
      <c r="E115" s="33">
        <v>0.54545454545454541</v>
      </c>
      <c r="F115">
        <v>9</v>
      </c>
      <c r="G115">
        <v>0.8</v>
      </c>
      <c r="H115">
        <v>6.5</v>
      </c>
      <c r="I115" s="33">
        <v>2.3972314316323809E-2</v>
      </c>
      <c r="J115" s="33">
        <v>0.45647561992362307</v>
      </c>
      <c r="K115" s="41" t="s">
        <v>37</v>
      </c>
      <c r="L115" s="33">
        <v>0.67272727272727273</v>
      </c>
      <c r="M115" s="41" t="s">
        <v>37</v>
      </c>
    </row>
    <row r="116" spans="1:13" x14ac:dyDescent="0.3">
      <c r="B116">
        <v>8</v>
      </c>
      <c r="C116">
        <v>46.55</v>
      </c>
      <c r="D116">
        <v>8.17</v>
      </c>
      <c r="E116" s="33">
        <v>0.84090909090909072</v>
      </c>
      <c r="F116">
        <v>9</v>
      </c>
      <c r="G116">
        <v>0.8</v>
      </c>
      <c r="H116">
        <v>3.38</v>
      </c>
      <c r="I116" s="33">
        <v>1.2457566304936808E-2</v>
      </c>
      <c r="J116" s="33">
        <v>0.55112221907134251</v>
      </c>
      <c r="K116" s="41" t="s">
        <v>37</v>
      </c>
      <c r="L116" s="33">
        <v>0.82045454545454533</v>
      </c>
      <c r="M116" s="43" t="s">
        <v>38</v>
      </c>
    </row>
    <row r="117" spans="1:13" x14ac:dyDescent="0.3">
      <c r="B117">
        <v>9</v>
      </c>
      <c r="C117">
        <v>88.2</v>
      </c>
      <c r="D117">
        <v>7.33</v>
      </c>
      <c r="E117" s="33">
        <v>0.72727272727272718</v>
      </c>
      <c r="F117">
        <v>9</v>
      </c>
      <c r="G117">
        <v>0.8</v>
      </c>
      <c r="H117">
        <v>2.78</v>
      </c>
      <c r="I117" s="33">
        <v>1.0247352928254471E-2</v>
      </c>
      <c r="J117" s="33">
        <v>0.51250669340032728</v>
      </c>
      <c r="K117" s="41" t="s">
        <v>37</v>
      </c>
      <c r="L117" s="33">
        <v>0.76363636363636367</v>
      </c>
      <c r="M117" s="43" t="s">
        <v>38</v>
      </c>
    </row>
    <row r="118" spans="1:13" x14ac:dyDescent="0.3">
      <c r="B118">
        <v>10</v>
      </c>
      <c r="C118">
        <v>74.97</v>
      </c>
      <c r="D118">
        <v>7.33</v>
      </c>
      <c r="E118" s="33">
        <v>0.72727272727272718</v>
      </c>
      <c r="F118">
        <v>8</v>
      </c>
      <c r="G118">
        <v>0.6</v>
      </c>
      <c r="H118">
        <v>2.8</v>
      </c>
      <c r="I118" s="33">
        <v>1.0333465137735599E-2</v>
      </c>
      <c r="J118" s="33">
        <v>0.44586873080348755</v>
      </c>
      <c r="K118" s="41" t="s">
        <v>37</v>
      </c>
      <c r="L118" s="33">
        <v>0.66363636363636358</v>
      </c>
      <c r="M118" s="41" t="s">
        <v>37</v>
      </c>
    </row>
    <row r="119" spans="1:13" x14ac:dyDescent="0.3">
      <c r="B119">
        <v>11</v>
      </c>
      <c r="C119">
        <v>38.22</v>
      </c>
      <c r="D119">
        <v>8.33</v>
      </c>
      <c r="E119" s="33">
        <v>0.86363636363636365</v>
      </c>
      <c r="F119">
        <v>9</v>
      </c>
      <c r="G119">
        <v>0.8</v>
      </c>
      <c r="H119">
        <v>3.99</v>
      </c>
      <c r="I119" s="33">
        <v>1.4725187821273231E-2</v>
      </c>
      <c r="J119" s="33">
        <v>0.55945385048587892</v>
      </c>
      <c r="K119" s="41" t="s">
        <v>37</v>
      </c>
      <c r="L119" s="33">
        <v>0.83181818181818179</v>
      </c>
      <c r="M119" s="43" t="s">
        <v>38</v>
      </c>
    </row>
    <row r="120" spans="1:13" x14ac:dyDescent="0.3">
      <c r="B120">
        <v>12</v>
      </c>
      <c r="C120">
        <v>25.48</v>
      </c>
      <c r="D120">
        <v>6.33</v>
      </c>
      <c r="E120" s="33">
        <v>0.59090909090909083</v>
      </c>
      <c r="F120">
        <v>9</v>
      </c>
      <c r="G120">
        <v>0.8</v>
      </c>
      <c r="H120">
        <v>2.38</v>
      </c>
      <c r="I120" s="33">
        <v>8.7834453670752599E-3</v>
      </c>
      <c r="J120" s="33">
        <v>0.46656417875872203</v>
      </c>
      <c r="K120" s="41" t="s">
        <v>37</v>
      </c>
      <c r="L120" s="33">
        <v>0.69545454545454544</v>
      </c>
      <c r="M120" s="41" t="s">
        <v>37</v>
      </c>
    </row>
    <row r="121" spans="1:13" x14ac:dyDescent="0.3">
      <c r="B121">
        <v>13</v>
      </c>
      <c r="C121">
        <v>22.54</v>
      </c>
      <c r="D121">
        <v>6.67</v>
      </c>
      <c r="E121" s="33">
        <v>0.63636363636363635</v>
      </c>
      <c r="F121">
        <v>9</v>
      </c>
      <c r="G121">
        <v>0.8</v>
      </c>
      <c r="H121">
        <v>2.4500000000000002</v>
      </c>
      <c r="I121" s="33">
        <v>9.0417819955186506E-3</v>
      </c>
      <c r="J121" s="33">
        <v>0.48180180611971835</v>
      </c>
      <c r="K121" s="41" t="s">
        <v>37</v>
      </c>
      <c r="L121" s="33">
        <v>0.71818181818181825</v>
      </c>
      <c r="M121" s="41" t="s">
        <v>37</v>
      </c>
    </row>
    <row r="122" spans="1:13" x14ac:dyDescent="0.3">
      <c r="B122">
        <v>14</v>
      </c>
      <c r="C122">
        <v>11.27</v>
      </c>
      <c r="D122">
        <v>7.67</v>
      </c>
      <c r="E122" s="33">
        <v>0.77272727272727271</v>
      </c>
      <c r="F122">
        <v>8</v>
      </c>
      <c r="G122">
        <v>0.6</v>
      </c>
      <c r="H122">
        <v>2.94</v>
      </c>
      <c r="I122" s="33">
        <v>1.085013839462238E-2</v>
      </c>
      <c r="J122" s="33">
        <v>0.46119247037396499</v>
      </c>
      <c r="K122" s="41" t="s">
        <v>37</v>
      </c>
      <c r="L122" s="33">
        <v>0.68636363636363629</v>
      </c>
      <c r="M122" s="41" t="s">
        <v>37</v>
      </c>
    </row>
    <row r="123" spans="1:13" x14ac:dyDescent="0.3">
      <c r="B123">
        <v>15</v>
      </c>
      <c r="C123">
        <v>0.98</v>
      </c>
      <c r="D123">
        <v>9.17</v>
      </c>
      <c r="E123" s="33">
        <v>0.97727272727272707</v>
      </c>
      <c r="F123">
        <v>7</v>
      </c>
      <c r="G123">
        <v>0.4</v>
      </c>
      <c r="H123">
        <v>0</v>
      </c>
      <c r="I123" s="33">
        <v>0</v>
      </c>
      <c r="J123" s="33">
        <v>0.45909090909090899</v>
      </c>
      <c r="K123" s="41" t="s">
        <v>37</v>
      </c>
      <c r="L123" s="33">
        <v>0.68863636363636349</v>
      </c>
      <c r="M123" s="41" t="s">
        <v>37</v>
      </c>
    </row>
    <row r="124" spans="1:13" x14ac:dyDescent="0.3">
      <c r="A124" t="s">
        <v>58</v>
      </c>
      <c r="B124">
        <v>1</v>
      </c>
      <c r="C124">
        <v>404</v>
      </c>
      <c r="D124">
        <v>3.5</v>
      </c>
      <c r="E124" s="33">
        <v>0.20454545454545453</v>
      </c>
      <c r="F124">
        <v>7</v>
      </c>
      <c r="G124">
        <v>0.4</v>
      </c>
      <c r="H124">
        <v>6.31</v>
      </c>
      <c r="I124" s="33">
        <v>2.3296428100698562E-2</v>
      </c>
      <c r="J124" s="33">
        <v>0.20928062754871768</v>
      </c>
      <c r="K124" s="42" t="s">
        <v>36</v>
      </c>
      <c r="L124" s="33">
        <v>0.30227272727272725</v>
      </c>
      <c r="M124" s="41" t="s">
        <v>37</v>
      </c>
    </row>
    <row r="125" spans="1:13" x14ac:dyDescent="0.3">
      <c r="B125">
        <v>2</v>
      </c>
      <c r="C125">
        <v>942</v>
      </c>
      <c r="D125">
        <v>4.67</v>
      </c>
      <c r="E125" s="33">
        <v>0.36363636363636365</v>
      </c>
      <c r="F125">
        <v>8</v>
      </c>
      <c r="G125">
        <v>0.6</v>
      </c>
      <c r="H125">
        <v>18.47</v>
      </c>
      <c r="I125" s="33">
        <v>6.8166135572457542E-2</v>
      </c>
      <c r="J125" s="33">
        <v>0.34393416640294039</v>
      </c>
      <c r="K125" s="41" t="s">
        <v>37</v>
      </c>
      <c r="L125" s="33">
        <v>0.48181818181818181</v>
      </c>
      <c r="M125" s="41" t="s">
        <v>37</v>
      </c>
    </row>
    <row r="126" spans="1:13" x14ac:dyDescent="0.3">
      <c r="B126">
        <v>3</v>
      </c>
      <c r="C126">
        <v>460</v>
      </c>
      <c r="D126">
        <v>4.17</v>
      </c>
      <c r="E126" s="33">
        <v>0.29545454545454547</v>
      </c>
      <c r="F126">
        <v>8</v>
      </c>
      <c r="G126">
        <v>0.6</v>
      </c>
      <c r="H126">
        <v>7.19</v>
      </c>
      <c r="I126" s="33">
        <v>2.6525635956240936E-2</v>
      </c>
      <c r="J126" s="33">
        <v>0.30732672713692877</v>
      </c>
      <c r="K126" s="41" t="s">
        <v>37</v>
      </c>
      <c r="L126" s="33">
        <v>0.44772727272727275</v>
      </c>
      <c r="M126" s="41" t="s">
        <v>37</v>
      </c>
    </row>
    <row r="127" spans="1:13" x14ac:dyDescent="0.3">
      <c r="B127">
        <v>4</v>
      </c>
      <c r="C127">
        <v>194</v>
      </c>
      <c r="D127">
        <v>4.33</v>
      </c>
      <c r="E127" s="33">
        <v>0.31818181818181812</v>
      </c>
      <c r="F127">
        <v>9</v>
      </c>
      <c r="G127">
        <v>0.8</v>
      </c>
      <c r="H127">
        <v>4.7300000000000004</v>
      </c>
      <c r="I127" s="33">
        <v>1.7462475929622873E-2</v>
      </c>
      <c r="J127" s="33">
        <v>0.37854809803714701</v>
      </c>
      <c r="K127" s="41" t="s">
        <v>37</v>
      </c>
      <c r="L127" s="33">
        <v>0.55909090909090908</v>
      </c>
      <c r="M127" s="41" t="s">
        <v>37</v>
      </c>
    </row>
    <row r="128" spans="1:13" x14ac:dyDescent="0.3">
      <c r="B128">
        <v>5</v>
      </c>
      <c r="C128">
        <v>545</v>
      </c>
      <c r="D128">
        <v>4.33</v>
      </c>
      <c r="E128" s="33">
        <v>0.31818181818181812</v>
      </c>
      <c r="F128">
        <v>8</v>
      </c>
      <c r="G128">
        <v>0.6</v>
      </c>
      <c r="H128">
        <v>11.6</v>
      </c>
      <c r="I128" s="33">
        <v>4.2794365502020523E-2</v>
      </c>
      <c r="J128" s="33">
        <v>0.32032539456127951</v>
      </c>
      <c r="K128" s="41" t="s">
        <v>37</v>
      </c>
      <c r="L128" s="33">
        <v>0.45909090909090905</v>
      </c>
      <c r="M128" s="41" t="s">
        <v>37</v>
      </c>
    </row>
    <row r="129" spans="1:13" x14ac:dyDescent="0.3">
      <c r="A129" t="s">
        <v>59</v>
      </c>
      <c r="B129">
        <v>1</v>
      </c>
      <c r="C129">
        <v>232</v>
      </c>
      <c r="D129">
        <v>7.67</v>
      </c>
      <c r="E129" s="33">
        <v>0.77272727272727271</v>
      </c>
      <c r="F129">
        <v>9</v>
      </c>
      <c r="G129">
        <v>0.8</v>
      </c>
      <c r="H129">
        <v>4.46</v>
      </c>
      <c r="I129" s="33">
        <v>1.6465411483205076E-2</v>
      </c>
      <c r="J129" s="33">
        <v>0.52973089473682589</v>
      </c>
      <c r="K129" s="41" t="s">
        <v>37</v>
      </c>
      <c r="L129" s="33">
        <v>0.78636363636363638</v>
      </c>
      <c r="M129" s="43" t="s">
        <v>38</v>
      </c>
    </row>
    <row r="130" spans="1:13" x14ac:dyDescent="0.3">
      <c r="B130">
        <v>2</v>
      </c>
      <c r="C130">
        <v>349</v>
      </c>
      <c r="D130">
        <v>6.67</v>
      </c>
      <c r="E130" s="33">
        <v>0.63636363636363635</v>
      </c>
      <c r="F130">
        <v>9</v>
      </c>
      <c r="G130">
        <v>0.8</v>
      </c>
      <c r="H130">
        <v>3.75</v>
      </c>
      <c r="I130" s="33">
        <v>1.3849382999499711E-2</v>
      </c>
      <c r="J130" s="33">
        <v>0.48340433978771202</v>
      </c>
      <c r="K130" s="41" t="s">
        <v>37</v>
      </c>
      <c r="L130" s="33">
        <v>0.71818181818181825</v>
      </c>
      <c r="M130" s="41" t="s">
        <v>37</v>
      </c>
    </row>
    <row r="131" spans="1:13" x14ac:dyDescent="0.3">
      <c r="B131">
        <v>3</v>
      </c>
      <c r="C131">
        <v>432</v>
      </c>
      <c r="D131">
        <v>5.33</v>
      </c>
      <c r="E131" s="33">
        <v>0.45454545454545447</v>
      </c>
      <c r="F131">
        <v>8</v>
      </c>
      <c r="G131">
        <v>0.6</v>
      </c>
      <c r="H131">
        <v>5.4</v>
      </c>
      <c r="I131" s="33">
        <v>1.99288256227758E-2</v>
      </c>
      <c r="J131" s="33">
        <v>0.35815809338941007</v>
      </c>
      <c r="K131" s="41" t="s">
        <v>37</v>
      </c>
      <c r="L131" s="33">
        <v>0.52727272727272723</v>
      </c>
      <c r="M131" s="41" t="s">
        <v>37</v>
      </c>
    </row>
    <row r="132" spans="1:13" x14ac:dyDescent="0.3">
      <c r="B132">
        <v>4</v>
      </c>
      <c r="C132">
        <v>172</v>
      </c>
      <c r="D132">
        <v>5.17</v>
      </c>
      <c r="E132" s="33">
        <v>0.43181818181818182</v>
      </c>
      <c r="F132">
        <v>8</v>
      </c>
      <c r="G132">
        <v>0.6</v>
      </c>
      <c r="H132">
        <v>8.6</v>
      </c>
      <c r="I132" s="33">
        <v>3.1738500065902196E-2</v>
      </c>
      <c r="J132" s="33">
        <v>0.35451889396136133</v>
      </c>
      <c r="K132" s="41" t="s">
        <v>37</v>
      </c>
      <c r="L132" s="33">
        <v>0.51590909090909087</v>
      </c>
      <c r="M132" s="41" t="s">
        <v>37</v>
      </c>
    </row>
    <row r="133" spans="1:13" x14ac:dyDescent="0.3">
      <c r="B133">
        <v>5</v>
      </c>
      <c r="C133">
        <v>160</v>
      </c>
      <c r="D133">
        <v>8.33</v>
      </c>
      <c r="E133" s="33">
        <v>0.86363636363636365</v>
      </c>
      <c r="F133">
        <v>9</v>
      </c>
      <c r="G133">
        <v>0.8</v>
      </c>
      <c r="H133">
        <v>3.72</v>
      </c>
      <c r="I133" s="33">
        <v>1.3732179585030696E-2</v>
      </c>
      <c r="J133" s="33">
        <v>0.55912284774046472</v>
      </c>
      <c r="K133" s="41" t="s">
        <v>37</v>
      </c>
      <c r="L133" s="33">
        <v>0.83181818181818179</v>
      </c>
      <c r="M133" s="43" t="s">
        <v>38</v>
      </c>
    </row>
    <row r="134" spans="1:13" x14ac:dyDescent="0.3">
      <c r="B134">
        <v>6</v>
      </c>
      <c r="C134">
        <v>300</v>
      </c>
      <c r="D134">
        <v>5.83</v>
      </c>
      <c r="E134" s="33">
        <v>0.5227272727272726</v>
      </c>
      <c r="F134">
        <v>8</v>
      </c>
      <c r="G134">
        <v>0.6</v>
      </c>
      <c r="H134">
        <v>4.62</v>
      </c>
      <c r="I134" s="33">
        <v>1.7033184292970769E-2</v>
      </c>
      <c r="J134" s="33">
        <v>0.37992015234008109</v>
      </c>
      <c r="K134" s="41" t="s">
        <v>37</v>
      </c>
      <c r="L134" s="33">
        <v>0.56136363636363629</v>
      </c>
      <c r="M134" s="41" t="s">
        <v>37</v>
      </c>
    </row>
    <row r="135" spans="1:13" x14ac:dyDescent="0.3">
      <c r="B135">
        <v>7</v>
      </c>
      <c r="C135">
        <v>161</v>
      </c>
      <c r="D135">
        <v>7.83</v>
      </c>
      <c r="E135" s="33">
        <v>0.7954545454545453</v>
      </c>
      <c r="F135">
        <v>8</v>
      </c>
      <c r="G135">
        <v>0.6</v>
      </c>
      <c r="H135">
        <v>2.2999999999999998</v>
      </c>
      <c r="I135" s="33">
        <v>8.4882035059970998E-3</v>
      </c>
      <c r="J135" s="33">
        <v>0.46798091632018074</v>
      </c>
      <c r="K135" s="41" t="s">
        <v>37</v>
      </c>
      <c r="L135" s="33">
        <v>0.69772727272727264</v>
      </c>
      <c r="M135" s="41" t="s">
        <v>37</v>
      </c>
    </row>
    <row r="136" spans="1:13" x14ac:dyDescent="0.3">
      <c r="B136">
        <v>8</v>
      </c>
      <c r="C136">
        <v>194</v>
      </c>
      <c r="D136">
        <v>5.33</v>
      </c>
      <c r="E136" s="33">
        <v>0.45454545454545447</v>
      </c>
      <c r="F136">
        <v>9</v>
      </c>
      <c r="G136">
        <v>0.8</v>
      </c>
      <c r="H136">
        <v>4.7300000000000004</v>
      </c>
      <c r="I136" s="33">
        <v>1.7462475929622873E-2</v>
      </c>
      <c r="J136" s="33">
        <v>0.42400264349169242</v>
      </c>
      <c r="K136" s="41" t="s">
        <v>37</v>
      </c>
      <c r="L136" s="33">
        <v>0.6272727272727272</v>
      </c>
      <c r="M136" s="41" t="s">
        <v>37</v>
      </c>
    </row>
    <row r="137" spans="1:13" x14ac:dyDescent="0.3">
      <c r="B137">
        <v>9</v>
      </c>
      <c r="C137">
        <v>357</v>
      </c>
      <c r="D137">
        <v>6.17</v>
      </c>
      <c r="E137" s="33">
        <v>0.56818181818181812</v>
      </c>
      <c r="F137">
        <v>9</v>
      </c>
      <c r="G137">
        <v>0.8</v>
      </c>
      <c r="H137">
        <v>7.6</v>
      </c>
      <c r="I137" s="33">
        <v>2.8032272448112534E-2</v>
      </c>
      <c r="J137" s="33">
        <v>0.46540469687664354</v>
      </c>
      <c r="K137" s="41" t="s">
        <v>37</v>
      </c>
      <c r="L137" s="33">
        <v>0.68409090909090908</v>
      </c>
      <c r="M137" s="41" t="s">
        <v>37</v>
      </c>
    </row>
    <row r="138" spans="1:13" x14ac:dyDescent="0.3">
      <c r="B138">
        <v>10</v>
      </c>
      <c r="C138">
        <v>188</v>
      </c>
      <c r="D138">
        <v>5.83</v>
      </c>
      <c r="E138" s="33">
        <v>0.5227272727272726</v>
      </c>
      <c r="F138">
        <v>6</v>
      </c>
      <c r="G138">
        <v>0.2</v>
      </c>
      <c r="H138">
        <v>4.95</v>
      </c>
      <c r="I138" s="33">
        <v>1.8258378250886213E-2</v>
      </c>
      <c r="J138" s="33">
        <v>0.24699521699271959</v>
      </c>
      <c r="K138" s="42" t="s">
        <v>36</v>
      </c>
      <c r="L138" s="33">
        <v>0.36136363636363633</v>
      </c>
      <c r="M138" s="41" t="s">
        <v>37</v>
      </c>
    </row>
    <row r="139" spans="1:13" x14ac:dyDescent="0.3">
      <c r="A139" t="s">
        <v>60</v>
      </c>
      <c r="B139">
        <v>1</v>
      </c>
      <c r="C139">
        <v>232</v>
      </c>
      <c r="D139">
        <v>8.67</v>
      </c>
      <c r="E139" s="33">
        <v>0.90909090909090895</v>
      </c>
      <c r="F139">
        <v>9</v>
      </c>
      <c r="G139">
        <v>0.8</v>
      </c>
      <c r="H139">
        <v>4.46</v>
      </c>
      <c r="I139" s="33">
        <v>1.6465411483205076E-2</v>
      </c>
      <c r="J139" s="33">
        <v>0.5751854401913713</v>
      </c>
      <c r="K139" s="41" t="s">
        <v>37</v>
      </c>
      <c r="L139" s="33">
        <v>0.8545454545454545</v>
      </c>
      <c r="M139" s="43" t="s">
        <v>38</v>
      </c>
    </row>
    <row r="140" spans="1:13" x14ac:dyDescent="0.3">
      <c r="B140">
        <v>2</v>
      </c>
      <c r="C140">
        <v>175</v>
      </c>
      <c r="D140">
        <v>6.5</v>
      </c>
      <c r="E140" s="33">
        <v>0.61363636363636354</v>
      </c>
      <c r="F140">
        <v>9</v>
      </c>
      <c r="G140">
        <v>0.8</v>
      </c>
      <c r="H140">
        <v>2.27</v>
      </c>
      <c r="I140" s="33">
        <v>8.3875528715386376E-3</v>
      </c>
      <c r="J140" s="33">
        <v>0.47400797216930074</v>
      </c>
      <c r="K140" s="41" t="s">
        <v>37</v>
      </c>
      <c r="L140" s="33">
        <v>0.70681818181818179</v>
      </c>
      <c r="M140" s="41" t="s">
        <v>37</v>
      </c>
    </row>
    <row r="141" spans="1:13" x14ac:dyDescent="0.3">
      <c r="B141">
        <v>3</v>
      </c>
      <c r="C141">
        <v>224</v>
      </c>
      <c r="D141">
        <v>8.5</v>
      </c>
      <c r="E141" s="33">
        <v>0.88636363636363624</v>
      </c>
      <c r="F141">
        <v>8</v>
      </c>
      <c r="G141">
        <v>0.6</v>
      </c>
      <c r="H141">
        <v>3.15</v>
      </c>
      <c r="I141" s="33">
        <v>1.1643341000265466E-2</v>
      </c>
      <c r="J141" s="33">
        <v>0.49933565912130057</v>
      </c>
      <c r="K141" s="41" t="s">
        <v>37</v>
      </c>
      <c r="L141" s="33">
        <v>0.74318181818181817</v>
      </c>
      <c r="M141" s="41" t="s">
        <v>37</v>
      </c>
    </row>
    <row r="142" spans="1:13" x14ac:dyDescent="0.3">
      <c r="B142">
        <v>4</v>
      </c>
      <c r="C142">
        <v>60</v>
      </c>
      <c r="D142">
        <v>5.83</v>
      </c>
      <c r="E142" s="33">
        <v>0.5227272727272726</v>
      </c>
      <c r="F142">
        <v>8</v>
      </c>
      <c r="G142">
        <v>0.6</v>
      </c>
      <c r="H142">
        <v>3.75</v>
      </c>
      <c r="I142" s="33">
        <v>1.383946223803875E-2</v>
      </c>
      <c r="J142" s="33">
        <v>0.37885557832177041</v>
      </c>
      <c r="K142" s="41" t="s">
        <v>37</v>
      </c>
      <c r="L142" s="33">
        <v>0.56136363636363629</v>
      </c>
      <c r="M142" s="41" t="s">
        <v>37</v>
      </c>
    </row>
    <row r="143" spans="1:13" x14ac:dyDescent="0.3">
      <c r="B143">
        <v>5</v>
      </c>
      <c r="C143">
        <v>160</v>
      </c>
      <c r="D143">
        <v>7.67</v>
      </c>
      <c r="E143" s="33">
        <v>0.77272727272727271</v>
      </c>
      <c r="F143">
        <v>8</v>
      </c>
      <c r="G143">
        <v>0.6</v>
      </c>
      <c r="H143">
        <v>3.72</v>
      </c>
      <c r="I143" s="33">
        <v>1.3732179585030696E-2</v>
      </c>
      <c r="J143" s="33">
        <v>0.46215315077076774</v>
      </c>
      <c r="K143" s="41" t="s">
        <v>37</v>
      </c>
      <c r="L143" s="33">
        <v>0.68636363636363629</v>
      </c>
      <c r="M143" s="41" t="s">
        <v>37</v>
      </c>
    </row>
    <row r="144" spans="1:13" x14ac:dyDescent="0.3">
      <c r="B144">
        <v>6</v>
      </c>
      <c r="C144">
        <v>209</v>
      </c>
      <c r="D144">
        <v>4.83</v>
      </c>
      <c r="E144" s="33">
        <v>0.3863636363636363</v>
      </c>
      <c r="F144">
        <v>8</v>
      </c>
      <c r="G144">
        <v>0.6</v>
      </c>
      <c r="H144">
        <v>5.0999999999999996</v>
      </c>
      <c r="I144" s="33">
        <v>1.8812667367480319E-2</v>
      </c>
      <c r="J144" s="33">
        <v>0.33505876791037215</v>
      </c>
      <c r="K144" s="41" t="s">
        <v>37</v>
      </c>
      <c r="L144" s="33">
        <v>0.49318181818181817</v>
      </c>
      <c r="M144" s="41" t="s">
        <v>37</v>
      </c>
    </row>
    <row r="145" spans="1:13" x14ac:dyDescent="0.3">
      <c r="B145">
        <v>7</v>
      </c>
      <c r="C145">
        <v>174</v>
      </c>
      <c r="D145">
        <v>7.33</v>
      </c>
      <c r="E145" s="33">
        <v>0.72727272727272718</v>
      </c>
      <c r="F145">
        <v>9</v>
      </c>
      <c r="G145">
        <v>0.8</v>
      </c>
      <c r="H145">
        <v>2.15</v>
      </c>
      <c r="I145" s="33">
        <v>7.9277907141357771E-3</v>
      </c>
      <c r="J145" s="33">
        <v>0.51173350599562095</v>
      </c>
      <c r="K145" s="41" t="s">
        <v>37</v>
      </c>
      <c r="L145" s="33">
        <v>0.76363636363636367</v>
      </c>
      <c r="M145" s="43" t="s">
        <v>38</v>
      </c>
    </row>
    <row r="146" spans="1:13" x14ac:dyDescent="0.3">
      <c r="B146">
        <v>8</v>
      </c>
      <c r="C146">
        <v>161</v>
      </c>
      <c r="D146">
        <v>6.5</v>
      </c>
      <c r="E146" s="33">
        <v>0.61363636363636354</v>
      </c>
      <c r="F146">
        <v>8</v>
      </c>
      <c r="G146">
        <v>0.6</v>
      </c>
      <c r="H146">
        <v>2.2999999999999998</v>
      </c>
      <c r="I146" s="33">
        <v>8.4882035059970998E-3</v>
      </c>
      <c r="J146" s="33">
        <v>0.40737485571412013</v>
      </c>
      <c r="K146" s="41" t="s">
        <v>37</v>
      </c>
      <c r="L146" s="33">
        <v>0.6068181818181817</v>
      </c>
      <c r="M146" s="41" t="s">
        <v>37</v>
      </c>
    </row>
    <row r="147" spans="1:13" x14ac:dyDescent="0.3">
      <c r="B147">
        <v>9</v>
      </c>
      <c r="C147">
        <v>208</v>
      </c>
      <c r="D147">
        <v>5.5</v>
      </c>
      <c r="E147" s="33">
        <v>0.47727272727272724</v>
      </c>
      <c r="F147">
        <v>8</v>
      </c>
      <c r="G147">
        <v>0.6</v>
      </c>
      <c r="H147">
        <v>2.54</v>
      </c>
      <c r="I147" s="33">
        <v>9.3613273024782465E-3</v>
      </c>
      <c r="J147" s="33">
        <v>0.36221135152506845</v>
      </c>
      <c r="K147" s="41" t="s">
        <v>37</v>
      </c>
      <c r="L147" s="33">
        <v>0.53863636363636358</v>
      </c>
      <c r="M147" s="41" t="s">
        <v>37</v>
      </c>
    </row>
    <row r="148" spans="1:13" x14ac:dyDescent="0.3">
      <c r="B148">
        <v>10</v>
      </c>
      <c r="C148">
        <v>194</v>
      </c>
      <c r="D148">
        <v>4</v>
      </c>
      <c r="E148" s="33">
        <v>0.27272727272727271</v>
      </c>
      <c r="F148">
        <v>10</v>
      </c>
      <c r="G148">
        <v>1</v>
      </c>
      <c r="H148">
        <v>4.7300000000000004</v>
      </c>
      <c r="I148" s="33">
        <v>1.7462475929622873E-2</v>
      </c>
      <c r="J148" s="33">
        <v>0.43006324955229852</v>
      </c>
      <c r="K148" s="41" t="s">
        <v>37</v>
      </c>
      <c r="L148" s="33">
        <v>0.63636363636363635</v>
      </c>
      <c r="M148" s="41" t="s">
        <v>37</v>
      </c>
    </row>
    <row r="149" spans="1:13" x14ac:dyDescent="0.3">
      <c r="B149">
        <v>11</v>
      </c>
      <c r="C149">
        <v>131</v>
      </c>
      <c r="D149">
        <v>6.5</v>
      </c>
      <c r="E149" s="33">
        <v>0.61363636363636354</v>
      </c>
      <c r="F149">
        <v>8</v>
      </c>
      <c r="G149">
        <v>0.6</v>
      </c>
      <c r="H149">
        <v>5.04</v>
      </c>
      <c r="I149" s="33">
        <v>1.8594559519826422E-2</v>
      </c>
      <c r="J149" s="33">
        <v>0.41074364105206329</v>
      </c>
      <c r="K149" s="41" t="s">
        <v>37</v>
      </c>
      <c r="L149" s="33">
        <v>0.6068181818181817</v>
      </c>
      <c r="M149" s="41" t="s">
        <v>37</v>
      </c>
    </row>
    <row r="150" spans="1:13" x14ac:dyDescent="0.3">
      <c r="B150">
        <v>12</v>
      </c>
      <c r="C150">
        <v>226</v>
      </c>
      <c r="D150">
        <v>6</v>
      </c>
      <c r="E150" s="33">
        <v>0.54545454545454541</v>
      </c>
      <c r="F150">
        <v>8</v>
      </c>
      <c r="G150">
        <v>0.6</v>
      </c>
      <c r="H150">
        <v>3.53</v>
      </c>
      <c r="I150" s="33">
        <v>1.3032160274153156E-2</v>
      </c>
      <c r="J150" s="33">
        <v>0.38616223524289955</v>
      </c>
      <c r="K150" s="41" t="s">
        <v>37</v>
      </c>
      <c r="L150" s="33">
        <v>0.57272727272727275</v>
      </c>
      <c r="M150" s="41" t="s">
        <v>37</v>
      </c>
    </row>
    <row r="151" spans="1:13" x14ac:dyDescent="0.3">
      <c r="B151">
        <v>13</v>
      </c>
      <c r="C151">
        <v>188</v>
      </c>
      <c r="D151">
        <v>4.83</v>
      </c>
      <c r="E151" s="33">
        <v>0.3863636363636363</v>
      </c>
      <c r="F151">
        <v>7</v>
      </c>
      <c r="G151">
        <v>0.4</v>
      </c>
      <c r="H151">
        <v>4.95</v>
      </c>
      <c r="I151" s="33">
        <v>1.8258378250886213E-2</v>
      </c>
      <c r="J151" s="33">
        <v>0.26820733820484083</v>
      </c>
      <c r="K151" s="41" t="s">
        <v>37</v>
      </c>
      <c r="L151" s="33">
        <v>0.39318181818181819</v>
      </c>
      <c r="M151" s="41" t="s">
        <v>37</v>
      </c>
    </row>
    <row r="152" spans="1:13" x14ac:dyDescent="0.3">
      <c r="B152">
        <v>14</v>
      </c>
      <c r="C152">
        <v>91</v>
      </c>
      <c r="D152">
        <v>5.83</v>
      </c>
      <c r="E152" s="33">
        <v>0.5227272727272726</v>
      </c>
      <c r="F152">
        <v>7</v>
      </c>
      <c r="G152">
        <v>0.4</v>
      </c>
      <c r="H152">
        <v>1.75</v>
      </c>
      <c r="I152" s="33">
        <v>6.4584157110847504E-3</v>
      </c>
      <c r="J152" s="33">
        <v>0.30972856281278577</v>
      </c>
      <c r="K152" s="41" t="s">
        <v>37</v>
      </c>
      <c r="L152" s="33">
        <v>0.46136363636363631</v>
      </c>
      <c r="M152" s="41" t="s">
        <v>37</v>
      </c>
    </row>
    <row r="153" spans="1:13" x14ac:dyDescent="0.3">
      <c r="B153">
        <v>15</v>
      </c>
      <c r="C153">
        <v>112</v>
      </c>
      <c r="D153">
        <v>7</v>
      </c>
      <c r="E153" s="33">
        <v>0.68181818181818177</v>
      </c>
      <c r="F153">
        <v>7</v>
      </c>
      <c r="G153">
        <v>0.4</v>
      </c>
      <c r="H153">
        <v>5.33</v>
      </c>
      <c r="I153" s="33">
        <v>1.9682790738543999E-2</v>
      </c>
      <c r="J153" s="33">
        <v>0.36716699085224191</v>
      </c>
      <c r="K153" s="41" t="s">
        <v>37</v>
      </c>
      <c r="L153" s="33">
        <v>0.54090909090909089</v>
      </c>
      <c r="M153" s="41" t="s">
        <v>37</v>
      </c>
    </row>
    <row r="154" spans="1:13" x14ac:dyDescent="0.3">
      <c r="A154" t="s">
        <v>61</v>
      </c>
      <c r="B154">
        <v>1</v>
      </c>
      <c r="C154">
        <v>722</v>
      </c>
      <c r="D154">
        <v>2.67</v>
      </c>
      <c r="E154" s="33">
        <v>9.0909090909090884E-2</v>
      </c>
      <c r="F154">
        <v>8</v>
      </c>
      <c r="G154">
        <v>0.6</v>
      </c>
      <c r="H154">
        <v>10.029999999999999</v>
      </c>
      <c r="I154" s="33">
        <v>3.7007747169866594E-2</v>
      </c>
      <c r="J154" s="33">
        <v>0.24263894602631914</v>
      </c>
      <c r="K154" s="42" t="s">
        <v>36</v>
      </c>
      <c r="L154" s="33">
        <v>0.34545454545454546</v>
      </c>
      <c r="M154" s="41" t="s">
        <v>37</v>
      </c>
    </row>
    <row r="155" spans="1:13" x14ac:dyDescent="0.3">
      <c r="B155">
        <v>2</v>
      </c>
      <c r="C155">
        <v>1390</v>
      </c>
      <c r="D155">
        <v>2.83</v>
      </c>
      <c r="E155" s="33">
        <v>0.11363636363636365</v>
      </c>
      <c r="F155">
        <v>8</v>
      </c>
      <c r="G155">
        <v>0.6</v>
      </c>
      <c r="H155">
        <v>55.6</v>
      </c>
      <c r="I155" s="33">
        <v>0.20519309344932121</v>
      </c>
      <c r="J155" s="33">
        <v>0.30627648569522825</v>
      </c>
      <c r="K155" s="41" t="s">
        <v>37</v>
      </c>
      <c r="L155" s="33">
        <v>0.35681818181818181</v>
      </c>
      <c r="M155" s="41" t="s">
        <v>37</v>
      </c>
    </row>
    <row r="156" spans="1:13" x14ac:dyDescent="0.3">
      <c r="B156">
        <v>3</v>
      </c>
      <c r="C156">
        <v>175</v>
      </c>
      <c r="D156">
        <v>5.67</v>
      </c>
      <c r="E156" s="33">
        <v>0.5</v>
      </c>
      <c r="F156">
        <v>8</v>
      </c>
      <c r="G156">
        <v>0.6</v>
      </c>
      <c r="H156">
        <v>4.07</v>
      </c>
      <c r="I156" s="33">
        <v>1.5019571421127326E-2</v>
      </c>
      <c r="J156" s="33">
        <v>0.37167319047370917</v>
      </c>
      <c r="K156" s="41" t="s">
        <v>37</v>
      </c>
      <c r="L156" s="33">
        <v>0.55000000000000004</v>
      </c>
      <c r="M156" s="41" t="s">
        <v>37</v>
      </c>
    </row>
    <row r="157" spans="1:13" x14ac:dyDescent="0.3">
      <c r="B157">
        <v>4</v>
      </c>
      <c r="C157">
        <v>228</v>
      </c>
      <c r="D157">
        <v>4</v>
      </c>
      <c r="E157" s="33">
        <v>0.27272727272727271</v>
      </c>
      <c r="F157">
        <v>10</v>
      </c>
      <c r="G157">
        <v>1</v>
      </c>
      <c r="H157">
        <v>4.8499999999999996</v>
      </c>
      <c r="I157" s="33">
        <v>1.7902963916441618E-2</v>
      </c>
      <c r="J157" s="33">
        <v>0.43021007888123808</v>
      </c>
      <c r="K157" s="41" t="s">
        <v>37</v>
      </c>
      <c r="L157" s="33">
        <v>0.63636363636363635</v>
      </c>
      <c r="M157" s="41" t="s">
        <v>37</v>
      </c>
    </row>
    <row r="158" spans="1:13" x14ac:dyDescent="0.3">
      <c r="B158">
        <v>5</v>
      </c>
      <c r="C158">
        <v>30</v>
      </c>
      <c r="D158">
        <v>5.67</v>
      </c>
      <c r="E158" s="33">
        <v>0.5</v>
      </c>
      <c r="F158">
        <v>9</v>
      </c>
      <c r="G158">
        <v>0.8</v>
      </c>
      <c r="H158">
        <v>2.31</v>
      </c>
      <c r="I158" s="33">
        <v>8.5165921464853828E-3</v>
      </c>
      <c r="J158" s="33">
        <v>0.43617219738216179</v>
      </c>
      <c r="K158" s="41" t="s">
        <v>37</v>
      </c>
      <c r="L158" s="33">
        <v>0.65</v>
      </c>
      <c r="M158" s="41" t="s">
        <v>37</v>
      </c>
    </row>
    <row r="159" spans="1:13" x14ac:dyDescent="0.3">
      <c r="A159" t="s">
        <v>62</v>
      </c>
      <c r="B159">
        <v>1</v>
      </c>
      <c r="C159">
        <v>488</v>
      </c>
      <c r="D159">
        <v>4.17</v>
      </c>
      <c r="E159" s="33">
        <v>0.29545454545454547</v>
      </c>
      <c r="F159">
        <v>8</v>
      </c>
      <c r="G159">
        <v>0.6</v>
      </c>
      <c r="H159">
        <v>6.68</v>
      </c>
      <c r="I159" s="33">
        <v>2.4670895241333861E-2</v>
      </c>
      <c r="J159" s="33">
        <v>0.30670848023195973</v>
      </c>
      <c r="K159" s="41" t="s">
        <v>37</v>
      </c>
      <c r="L159" s="33">
        <v>0.44772727272727275</v>
      </c>
      <c r="M159" s="41" t="s">
        <v>37</v>
      </c>
    </row>
    <row r="160" spans="1:13" x14ac:dyDescent="0.3">
      <c r="B160">
        <v>2</v>
      </c>
      <c r="C160">
        <v>1128</v>
      </c>
      <c r="D160">
        <v>4.33</v>
      </c>
      <c r="E160" s="33">
        <v>0.31818181818181812</v>
      </c>
      <c r="F160">
        <v>8</v>
      </c>
      <c r="G160">
        <v>0.6</v>
      </c>
      <c r="H160">
        <v>33.18</v>
      </c>
      <c r="I160" s="33">
        <v>0.12243853651245551</v>
      </c>
      <c r="J160" s="33">
        <v>0.34687345156475785</v>
      </c>
      <c r="K160" s="41" t="s">
        <v>37</v>
      </c>
      <c r="L160" s="33">
        <v>0.45909090909090905</v>
      </c>
      <c r="M160" s="41" t="s">
        <v>37</v>
      </c>
    </row>
    <row r="161" spans="1:13" x14ac:dyDescent="0.3">
      <c r="B161">
        <v>3</v>
      </c>
      <c r="C161">
        <v>73</v>
      </c>
      <c r="D161">
        <v>4.5</v>
      </c>
      <c r="E161" s="33">
        <v>0.34090909090909088</v>
      </c>
      <c r="F161">
        <v>7</v>
      </c>
      <c r="G161">
        <v>0.4</v>
      </c>
      <c r="H161">
        <v>1.97</v>
      </c>
      <c r="I161" s="33">
        <v>7.2813026550678792E-3</v>
      </c>
      <c r="J161" s="33">
        <v>0.2493967978547196</v>
      </c>
      <c r="K161" s="42" t="s">
        <v>36</v>
      </c>
      <c r="L161" s="33">
        <v>0.37045454545454548</v>
      </c>
      <c r="M161" s="41" t="s">
        <v>37</v>
      </c>
    </row>
    <row r="162" spans="1:13" x14ac:dyDescent="0.3">
      <c r="B162">
        <v>4</v>
      </c>
      <c r="C162">
        <v>89</v>
      </c>
      <c r="D162">
        <v>8</v>
      </c>
      <c r="E162" s="33">
        <v>0.81818181818181812</v>
      </c>
      <c r="F162">
        <v>9</v>
      </c>
      <c r="G162">
        <v>0.8</v>
      </c>
      <c r="H162">
        <v>2.54</v>
      </c>
      <c r="I162" s="33">
        <v>9.3844734419401606E-3</v>
      </c>
      <c r="J162" s="33">
        <v>0.54252209720791944</v>
      </c>
      <c r="K162" s="41" t="s">
        <v>37</v>
      </c>
      <c r="L162" s="33">
        <v>0.80909090909090908</v>
      </c>
      <c r="M162" s="43" t="s">
        <v>38</v>
      </c>
    </row>
    <row r="163" spans="1:13" x14ac:dyDescent="0.3">
      <c r="B163">
        <v>5</v>
      </c>
      <c r="C163">
        <v>175</v>
      </c>
      <c r="D163">
        <v>5.33</v>
      </c>
      <c r="E163" s="33">
        <v>0.45454545454545447</v>
      </c>
      <c r="F163">
        <v>8</v>
      </c>
      <c r="G163">
        <v>0.6</v>
      </c>
      <c r="H163">
        <v>4.07</v>
      </c>
      <c r="I163" s="33">
        <v>1.5019571421642283E-2</v>
      </c>
      <c r="J163" s="33">
        <v>0.35652167532236556</v>
      </c>
      <c r="K163" s="41" t="s">
        <v>37</v>
      </c>
      <c r="L163" s="33">
        <v>0.52727272727272723</v>
      </c>
      <c r="M163" s="41" t="s">
        <v>37</v>
      </c>
    </row>
    <row r="164" spans="1:13" x14ac:dyDescent="0.3">
      <c r="B164">
        <v>6</v>
      </c>
      <c r="C164">
        <v>228</v>
      </c>
      <c r="D164">
        <v>3.83</v>
      </c>
      <c r="E164" s="33">
        <v>0.25</v>
      </c>
      <c r="F164">
        <v>10</v>
      </c>
      <c r="G164">
        <v>1</v>
      </c>
      <c r="H164">
        <v>4.8499999999999996</v>
      </c>
      <c r="I164" s="33">
        <v>1.7902963917226837E-2</v>
      </c>
      <c r="J164" s="33">
        <v>0.42263432130574224</v>
      </c>
      <c r="K164" s="41" t="s">
        <v>37</v>
      </c>
      <c r="L164" s="33">
        <v>0.625</v>
      </c>
      <c r="M164" s="41" t="s">
        <v>37</v>
      </c>
    </row>
    <row r="165" spans="1:13" x14ac:dyDescent="0.3">
      <c r="B165">
        <v>7</v>
      </c>
      <c r="C165">
        <v>100</v>
      </c>
      <c r="D165">
        <v>6.33</v>
      </c>
      <c r="E165" s="33">
        <v>0.59090909090909083</v>
      </c>
      <c r="F165">
        <v>8</v>
      </c>
      <c r="G165">
        <v>0.6</v>
      </c>
      <c r="H165">
        <v>4.76</v>
      </c>
      <c r="I165" s="33">
        <v>1.7573920302622909E-2</v>
      </c>
      <c r="J165" s="33">
        <v>0.40282767040390455</v>
      </c>
      <c r="K165" s="41" t="s">
        <v>37</v>
      </c>
      <c r="L165" s="33">
        <v>0.59545454545454546</v>
      </c>
      <c r="M165" s="41" t="s">
        <v>37</v>
      </c>
    </row>
    <row r="166" spans="1:13" x14ac:dyDescent="0.3">
      <c r="B166">
        <v>8</v>
      </c>
      <c r="C166">
        <v>178</v>
      </c>
      <c r="D166">
        <v>6.67</v>
      </c>
      <c r="E166" s="33">
        <v>0.63636363636363635</v>
      </c>
      <c r="F166">
        <v>8</v>
      </c>
      <c r="G166">
        <v>0.6</v>
      </c>
      <c r="H166">
        <v>3.71</v>
      </c>
      <c r="I166" s="33">
        <v>1.3685690434163702E-2</v>
      </c>
      <c r="J166" s="33">
        <v>0.41668310893260002</v>
      </c>
      <c r="K166" s="41" t="s">
        <v>37</v>
      </c>
      <c r="L166" s="33">
        <v>0.61818181818181817</v>
      </c>
      <c r="M166" s="41" t="s">
        <v>37</v>
      </c>
    </row>
    <row r="167" spans="1:13" x14ac:dyDescent="0.3">
      <c r="B167">
        <v>9</v>
      </c>
      <c r="C167">
        <v>56</v>
      </c>
      <c r="D167">
        <v>2.5</v>
      </c>
      <c r="E167" s="33">
        <v>6.8181818181818177E-2</v>
      </c>
      <c r="F167">
        <v>9</v>
      </c>
      <c r="G167">
        <v>0.8</v>
      </c>
      <c r="H167">
        <v>3.5</v>
      </c>
      <c r="I167" s="33">
        <v>1.2916831422169501E-2</v>
      </c>
      <c r="J167" s="33">
        <v>0.29369954986799585</v>
      </c>
      <c r="K167" s="41" t="s">
        <v>37</v>
      </c>
      <c r="L167" s="33">
        <v>0.43409090909090908</v>
      </c>
      <c r="M167" s="41" t="s">
        <v>37</v>
      </c>
    </row>
    <row r="168" spans="1:13" x14ac:dyDescent="0.3">
      <c r="B168">
        <v>10</v>
      </c>
      <c r="C168">
        <v>30</v>
      </c>
      <c r="D168">
        <v>5.67</v>
      </c>
      <c r="E168" s="33">
        <v>0.5</v>
      </c>
      <c r="F168">
        <v>10</v>
      </c>
      <c r="G168">
        <v>1</v>
      </c>
      <c r="H168">
        <v>2.31</v>
      </c>
      <c r="I168" s="33">
        <v>8.516592147620931E-3</v>
      </c>
      <c r="J168" s="33">
        <v>0.50283886404920697</v>
      </c>
      <c r="K168" s="41" t="s">
        <v>37</v>
      </c>
      <c r="L168" s="33">
        <v>0.75</v>
      </c>
      <c r="M168" s="41" t="s">
        <v>37</v>
      </c>
    </row>
    <row r="169" spans="1:13" x14ac:dyDescent="0.3">
      <c r="A169" t="s">
        <v>63</v>
      </c>
      <c r="B169">
        <v>1</v>
      </c>
      <c r="C169">
        <v>237</v>
      </c>
      <c r="D169">
        <v>8.83</v>
      </c>
      <c r="E169" s="33">
        <v>0.93181818181818188</v>
      </c>
      <c r="F169">
        <v>8</v>
      </c>
      <c r="G169">
        <v>0.6</v>
      </c>
      <c r="H169">
        <v>4.3099999999999996</v>
      </c>
      <c r="I169" s="33">
        <v>1.5902800244101751E-2</v>
      </c>
      <c r="J169" s="33">
        <v>0.51590699402076112</v>
      </c>
      <c r="K169" s="41" t="s">
        <v>37</v>
      </c>
      <c r="L169" s="33">
        <v>0.76590909090909087</v>
      </c>
      <c r="M169" s="43" t="s">
        <v>38</v>
      </c>
    </row>
    <row r="170" spans="1:13" x14ac:dyDescent="0.3">
      <c r="B170">
        <v>2</v>
      </c>
      <c r="C170">
        <v>334</v>
      </c>
      <c r="D170">
        <v>6</v>
      </c>
      <c r="E170" s="33">
        <v>0.54545454545454541</v>
      </c>
      <c r="F170">
        <v>9</v>
      </c>
      <c r="G170">
        <v>0.8</v>
      </c>
      <c r="H170">
        <v>4.34</v>
      </c>
      <c r="I170" s="33">
        <v>1.6008243767497037E-2</v>
      </c>
      <c r="J170" s="33">
        <v>0.45382092974068083</v>
      </c>
      <c r="K170" s="41" t="s">
        <v>37</v>
      </c>
      <c r="L170" s="33">
        <v>0.67272727272727273</v>
      </c>
      <c r="M170" s="41" t="s">
        <v>37</v>
      </c>
    </row>
    <row r="171" spans="1:13" x14ac:dyDescent="0.3">
      <c r="B171">
        <v>3</v>
      </c>
      <c r="C171">
        <v>285</v>
      </c>
      <c r="D171">
        <v>5</v>
      </c>
      <c r="E171" s="33">
        <v>0.40909090909090906</v>
      </c>
      <c r="F171">
        <v>9</v>
      </c>
      <c r="G171">
        <v>0.8</v>
      </c>
      <c r="H171">
        <v>4.1900000000000004</v>
      </c>
      <c r="I171" s="33">
        <v>1.5467634267562938E-2</v>
      </c>
      <c r="J171" s="33">
        <v>0.40818618111949068</v>
      </c>
      <c r="K171" s="41" t="s">
        <v>37</v>
      </c>
      <c r="L171" s="33">
        <v>0.6045454545454545</v>
      </c>
      <c r="M171" s="41" t="s">
        <v>37</v>
      </c>
    </row>
    <row r="172" spans="1:13" x14ac:dyDescent="0.3">
      <c r="B172">
        <v>4</v>
      </c>
      <c r="C172">
        <v>271</v>
      </c>
      <c r="D172">
        <v>4.83</v>
      </c>
      <c r="E172" s="33">
        <v>0.3863636363636363</v>
      </c>
      <c r="F172">
        <v>7</v>
      </c>
      <c r="G172">
        <v>0.4</v>
      </c>
      <c r="H172">
        <v>2.61</v>
      </c>
      <c r="I172" s="33">
        <v>9.6166519662580722E-3</v>
      </c>
      <c r="J172" s="33">
        <v>0.26532676277663148</v>
      </c>
      <c r="K172" s="41" t="s">
        <v>37</v>
      </c>
      <c r="L172" s="33">
        <v>0.39318181818181819</v>
      </c>
      <c r="M172" s="41" t="s">
        <v>37</v>
      </c>
    </row>
    <row r="173" spans="1:13" x14ac:dyDescent="0.3">
      <c r="B173">
        <v>5</v>
      </c>
      <c r="C173">
        <v>37</v>
      </c>
      <c r="D173">
        <v>6.83</v>
      </c>
      <c r="E173" s="33">
        <v>0.65909090909090895</v>
      </c>
      <c r="F173">
        <v>6</v>
      </c>
      <c r="G173">
        <v>0.2</v>
      </c>
      <c r="H173">
        <v>2.06</v>
      </c>
      <c r="I173" s="33">
        <v>7.5860755987873984E-3</v>
      </c>
      <c r="J173" s="33">
        <v>0.28889232822989874</v>
      </c>
      <c r="K173" s="41" t="s">
        <v>37</v>
      </c>
      <c r="L173" s="33">
        <v>0.42954545454545445</v>
      </c>
      <c r="M173" s="41" t="s">
        <v>37</v>
      </c>
    </row>
    <row r="174" spans="1:13" x14ac:dyDescent="0.3">
      <c r="B174">
        <v>6</v>
      </c>
      <c r="C174">
        <v>89</v>
      </c>
      <c r="D174">
        <v>8.33</v>
      </c>
      <c r="E174" s="33">
        <v>0.86363636363636365</v>
      </c>
      <c r="F174">
        <v>8</v>
      </c>
      <c r="G174">
        <v>0.6</v>
      </c>
      <c r="H174">
        <v>2.54</v>
      </c>
      <c r="I174" s="33">
        <v>9.3844734419401606E-3</v>
      </c>
      <c r="J174" s="33">
        <v>0.49100694569276793</v>
      </c>
      <c r="K174" s="41" t="s">
        <v>37</v>
      </c>
      <c r="L174" s="33">
        <v>0.73181818181818181</v>
      </c>
      <c r="M174" s="41" t="s">
        <v>37</v>
      </c>
    </row>
    <row r="175" spans="1:13" x14ac:dyDescent="0.3">
      <c r="B175">
        <v>7</v>
      </c>
      <c r="C175">
        <v>238</v>
      </c>
      <c r="D175">
        <v>7.33</v>
      </c>
      <c r="E175" s="33">
        <v>0.72727272727272718</v>
      </c>
      <c r="F175">
        <v>8</v>
      </c>
      <c r="G175">
        <v>0.6</v>
      </c>
      <c r="H175">
        <v>2.87</v>
      </c>
      <c r="I175" s="33">
        <v>1.0582464299459601E-2</v>
      </c>
      <c r="J175" s="33">
        <v>0.44595173052406223</v>
      </c>
      <c r="K175" s="41" t="s">
        <v>37</v>
      </c>
      <c r="L175" s="33">
        <v>0.66363636363636358</v>
      </c>
      <c r="M175" s="41" t="s">
        <v>37</v>
      </c>
    </row>
    <row r="176" spans="1:13" x14ac:dyDescent="0.3">
      <c r="B176">
        <v>8</v>
      </c>
      <c r="C176">
        <v>175</v>
      </c>
      <c r="D176">
        <v>6.5</v>
      </c>
      <c r="E176" s="33">
        <v>0.61363636363636354</v>
      </c>
      <c r="F176">
        <v>7</v>
      </c>
      <c r="G176">
        <v>0.4</v>
      </c>
      <c r="H176">
        <v>4.07</v>
      </c>
      <c r="I176" s="33">
        <v>1.5019571421642283E-2</v>
      </c>
      <c r="J176" s="33">
        <v>0.342885311686002</v>
      </c>
      <c r="K176" s="41" t="s">
        <v>37</v>
      </c>
      <c r="L176" s="33">
        <v>0.50681818181818183</v>
      </c>
      <c r="M176" s="41" t="s">
        <v>37</v>
      </c>
    </row>
    <row r="177" spans="2:13" x14ac:dyDescent="0.3">
      <c r="B177">
        <v>9</v>
      </c>
      <c r="C177">
        <v>228</v>
      </c>
      <c r="D177">
        <v>5</v>
      </c>
      <c r="E177" s="33">
        <v>0.40909090909090906</v>
      </c>
      <c r="F177">
        <v>10</v>
      </c>
      <c r="G177">
        <v>1</v>
      </c>
      <c r="H177">
        <v>4.8499999999999996</v>
      </c>
      <c r="I177" s="33">
        <v>1.7902963917226837E-2</v>
      </c>
      <c r="J177" s="33">
        <v>0.47566462433604528</v>
      </c>
      <c r="K177" s="41" t="s">
        <v>37</v>
      </c>
      <c r="L177" s="33">
        <v>0.70454545454545459</v>
      </c>
      <c r="M177" s="41" t="s">
        <v>37</v>
      </c>
    </row>
    <row r="178" spans="2:13" x14ac:dyDescent="0.3">
      <c r="B178">
        <v>10</v>
      </c>
      <c r="C178">
        <v>251</v>
      </c>
      <c r="D178">
        <v>4</v>
      </c>
      <c r="E178" s="33">
        <v>0.27272727272727271</v>
      </c>
      <c r="F178">
        <v>9</v>
      </c>
      <c r="G178">
        <v>0.8</v>
      </c>
      <c r="H178">
        <v>2.61</v>
      </c>
      <c r="I178" s="33">
        <v>9.6491806147357331E-3</v>
      </c>
      <c r="J178" s="33">
        <v>0.36079215111400276</v>
      </c>
      <c r="K178" s="41" t="s">
        <v>37</v>
      </c>
      <c r="L178" s="33">
        <v>0.53636363636363638</v>
      </c>
      <c r="M178" s="41" t="s">
        <v>37</v>
      </c>
    </row>
    <row r="179" spans="2:13" x14ac:dyDescent="0.3">
      <c r="B179">
        <v>11</v>
      </c>
      <c r="C179">
        <v>100</v>
      </c>
      <c r="D179">
        <v>5</v>
      </c>
      <c r="E179" s="33">
        <v>0.40909090909090906</v>
      </c>
      <c r="F179">
        <v>8</v>
      </c>
      <c r="G179">
        <v>0.6</v>
      </c>
      <c r="H179">
        <v>4.76</v>
      </c>
      <c r="I179" s="33">
        <v>1.7573920302622909E-2</v>
      </c>
      <c r="J179" s="33">
        <v>0.34222160979784394</v>
      </c>
      <c r="K179" s="41" t="s">
        <v>37</v>
      </c>
      <c r="L179" s="33">
        <v>0.50454545454545452</v>
      </c>
      <c r="M179" s="41" t="s">
        <v>37</v>
      </c>
    </row>
    <row r="180" spans="2:13" x14ac:dyDescent="0.3">
      <c r="B180">
        <v>12</v>
      </c>
      <c r="C180">
        <v>36</v>
      </c>
      <c r="D180">
        <v>7.33</v>
      </c>
      <c r="E180" s="33">
        <v>0.72727272727272718</v>
      </c>
      <c r="F180">
        <v>7</v>
      </c>
      <c r="G180">
        <v>0.4</v>
      </c>
      <c r="H180">
        <v>1.57</v>
      </c>
      <c r="I180" s="33">
        <v>5.7764711938842759E-3</v>
      </c>
      <c r="J180" s="33">
        <v>0.37768306615553715</v>
      </c>
      <c r="K180" s="41" t="s">
        <v>37</v>
      </c>
      <c r="L180" s="33">
        <v>0.5636363636363636</v>
      </c>
      <c r="M180" s="41" t="s">
        <v>37</v>
      </c>
    </row>
    <row r="181" spans="2:13" x14ac:dyDescent="0.3">
      <c r="B181">
        <v>13</v>
      </c>
      <c r="C181">
        <v>178</v>
      </c>
      <c r="D181">
        <v>6.67</v>
      </c>
      <c r="E181" s="33">
        <v>0.63636363636363635</v>
      </c>
      <c r="F181">
        <v>7</v>
      </c>
      <c r="G181">
        <v>0.4</v>
      </c>
      <c r="H181">
        <v>3.71</v>
      </c>
      <c r="I181" s="33">
        <v>1.3685690434163702E-2</v>
      </c>
      <c r="J181" s="33">
        <v>0.35001644226593337</v>
      </c>
      <c r="K181" s="41" t="s">
        <v>37</v>
      </c>
      <c r="L181" s="33">
        <v>0.51818181818181819</v>
      </c>
      <c r="M181" s="41" t="s">
        <v>37</v>
      </c>
    </row>
    <row r="182" spans="2:13" x14ac:dyDescent="0.3">
      <c r="B182">
        <v>14</v>
      </c>
      <c r="C182">
        <v>56</v>
      </c>
      <c r="D182">
        <v>3</v>
      </c>
      <c r="E182" s="33">
        <v>0.13636363636363635</v>
      </c>
      <c r="F182">
        <v>8</v>
      </c>
      <c r="G182">
        <v>0.6</v>
      </c>
      <c r="H182">
        <v>3.5</v>
      </c>
      <c r="I182" s="33">
        <v>1.2916831422169501E-2</v>
      </c>
      <c r="J182" s="33">
        <v>0.24976015592860193</v>
      </c>
      <c r="K182" s="42" t="s">
        <v>36</v>
      </c>
      <c r="L182" s="33">
        <v>0.36818181818181817</v>
      </c>
      <c r="M182" s="41" t="s">
        <v>37</v>
      </c>
    </row>
    <row r="183" spans="2:13" x14ac:dyDescent="0.3">
      <c r="B183">
        <v>15</v>
      </c>
      <c r="C183">
        <v>30</v>
      </c>
      <c r="D183">
        <v>6.17</v>
      </c>
      <c r="E183" s="33">
        <v>0.56818181818181812</v>
      </c>
      <c r="F183">
        <v>9</v>
      </c>
      <c r="G183">
        <v>0.8</v>
      </c>
      <c r="H183">
        <v>2.31</v>
      </c>
      <c r="I183" s="33">
        <v>8.516592147620931E-3</v>
      </c>
      <c r="J183" s="33">
        <v>0.45889947010981302</v>
      </c>
      <c r="K183" s="41" t="s">
        <v>37</v>
      </c>
      <c r="L183" s="33">
        <v>0.68409090909090908</v>
      </c>
      <c r="M183" s="41" t="s">
        <v>37</v>
      </c>
    </row>
    <row r="184" spans="2:13" x14ac:dyDescent="0.3">
      <c r="B184" s="57" t="s">
        <v>69</v>
      </c>
      <c r="C184" s="33">
        <f>MIN(C4:C183)</f>
        <v>0.98</v>
      </c>
      <c r="D184" s="33">
        <f t="shared" ref="D184:I184" si="0">MIN(D4:D183)</f>
        <v>2</v>
      </c>
      <c r="E184" s="33">
        <f t="shared" si="0"/>
        <v>0</v>
      </c>
      <c r="F184" s="33">
        <f t="shared" si="0"/>
        <v>5</v>
      </c>
      <c r="G184" s="33">
        <f t="shared" si="0"/>
        <v>0</v>
      </c>
      <c r="H184" s="33">
        <f t="shared" si="0"/>
        <v>0</v>
      </c>
      <c r="I184" s="33">
        <f t="shared" si="0"/>
        <v>0</v>
      </c>
    </row>
    <row r="185" spans="2:13" x14ac:dyDescent="0.3">
      <c r="B185" s="57" t="s">
        <v>70</v>
      </c>
      <c r="C185" s="33">
        <f>MAX(C4:C184)</f>
        <v>1910.75</v>
      </c>
      <c r="D185" s="33">
        <f t="shared" ref="D185:I185" si="1">MAX(D4:D184)</f>
        <v>9.33</v>
      </c>
      <c r="E185" s="33">
        <f t="shared" si="1"/>
        <v>1</v>
      </c>
      <c r="F185" s="33">
        <f t="shared" si="1"/>
        <v>10</v>
      </c>
      <c r="G185" s="33">
        <f t="shared" si="1"/>
        <v>1</v>
      </c>
      <c r="H185" s="33">
        <f t="shared" si="1"/>
        <v>270.95999999999998</v>
      </c>
      <c r="I185" s="33">
        <f t="shared" si="1"/>
        <v>1</v>
      </c>
    </row>
    <row r="186" spans="2:13" x14ac:dyDescent="0.3">
      <c r="B186" s="57" t="s">
        <v>71</v>
      </c>
      <c r="C186" s="33">
        <f>AVERAGE(C4:C183)</f>
        <v>255.16733333333323</v>
      </c>
      <c r="D186" s="33">
        <f t="shared" ref="D186:I186" si="2">AVERAGE(D4:D183)</f>
        <v>6.3757222222222207</v>
      </c>
      <c r="E186" s="33">
        <f t="shared" si="2"/>
        <v>0.59671717171717142</v>
      </c>
      <c r="F186" s="33">
        <f t="shared" si="2"/>
        <v>8.25</v>
      </c>
      <c r="G186" s="33">
        <f t="shared" si="2"/>
        <v>0.64999999999999869</v>
      </c>
      <c r="H186" s="33">
        <f t="shared" si="2"/>
        <v>6.9990555555555511</v>
      </c>
      <c r="I186" s="33">
        <f t="shared" si="2"/>
        <v>2.5828105047829685E-2</v>
      </c>
    </row>
    <row r="187" spans="2:13" x14ac:dyDescent="0.3">
      <c r="B187" s="57" t="s">
        <v>72</v>
      </c>
      <c r="C187" s="33">
        <f>MEDIAN(C4:C183)</f>
        <v>181.65</v>
      </c>
      <c r="D187" s="33">
        <f t="shared" ref="D187:I187" si="3">MEDIAN(D4:D183)</f>
        <v>6.5</v>
      </c>
      <c r="E187" s="33">
        <f t="shared" si="3"/>
        <v>0.61363636363636354</v>
      </c>
      <c r="F187" s="33">
        <f t="shared" si="3"/>
        <v>8</v>
      </c>
      <c r="G187" s="33">
        <f t="shared" si="3"/>
        <v>0.6</v>
      </c>
      <c r="H187" s="33">
        <f t="shared" si="3"/>
        <v>3.75</v>
      </c>
      <c r="I187" s="33">
        <f t="shared" si="3"/>
        <v>1.3844422618769231E-2</v>
      </c>
    </row>
    <row r="188" spans="2:13" x14ac:dyDescent="0.3">
      <c r="B188" s="57" t="s">
        <v>73</v>
      </c>
      <c r="C188" s="33">
        <f>_xlfn.STDEV.S(C4:C183)</f>
        <v>290.66613890266092</v>
      </c>
      <c r="D188" s="33">
        <f t="shared" ref="D188:I188" si="4">_xlfn.STDEV.S(D4:D183)</f>
        <v>1.6183424966226994</v>
      </c>
      <c r="E188" s="33">
        <f t="shared" si="4"/>
        <v>0.22069090937729124</v>
      </c>
      <c r="F188" s="33">
        <f t="shared" si="4"/>
        <v>0.90235570040636748</v>
      </c>
      <c r="G188" s="33">
        <f t="shared" si="4"/>
        <v>0.18047114008127743</v>
      </c>
      <c r="H188" s="33">
        <f t="shared" si="4"/>
        <v>21.245525449303631</v>
      </c>
      <c r="I188" s="33">
        <f t="shared" si="4"/>
        <v>7.8408067749724031E-2</v>
      </c>
    </row>
  </sheetData>
  <mergeCells count="9">
    <mergeCell ref="A1:A3"/>
    <mergeCell ref="B1:B3"/>
    <mergeCell ref="C1:I1"/>
    <mergeCell ref="J1:K2"/>
    <mergeCell ref="L1:M2"/>
    <mergeCell ref="D2:E2"/>
    <mergeCell ref="F2:G2"/>
    <mergeCell ref="H2:I2"/>
    <mergeCell ref="C2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D3013-FE23-49D1-BA28-5B6BBC0826B0}">
  <dimension ref="A1:H55"/>
  <sheetViews>
    <sheetView workbookViewId="0">
      <selection activeCell="K21" sqref="K21"/>
    </sheetView>
  </sheetViews>
  <sheetFormatPr defaultRowHeight="14.4" x14ac:dyDescent="0.3"/>
  <cols>
    <col min="1" max="1" width="9.5546875" bestFit="1" customWidth="1"/>
    <col min="2" max="2" width="13.5546875" bestFit="1" customWidth="1"/>
    <col min="3" max="3" width="9.33203125" bestFit="1" customWidth="1"/>
    <col min="6" max="6" width="11.5546875" bestFit="1" customWidth="1"/>
    <col min="7" max="7" width="13.109375" bestFit="1" customWidth="1"/>
    <col min="8" max="8" width="7.77734375" bestFit="1" customWidth="1"/>
  </cols>
  <sheetData>
    <row r="1" spans="1:8" x14ac:dyDescent="0.3">
      <c r="A1" s="2" t="s">
        <v>0</v>
      </c>
      <c r="B1" s="46" t="s">
        <v>1</v>
      </c>
      <c r="C1" s="46"/>
      <c r="E1" s="44" t="s">
        <v>0</v>
      </c>
      <c r="F1" s="44" t="s">
        <v>1</v>
      </c>
      <c r="G1" s="44"/>
      <c r="H1" s="44"/>
    </row>
    <row r="2" spans="1:8" x14ac:dyDescent="0.3">
      <c r="A2" s="45" t="s">
        <v>5</v>
      </c>
      <c r="B2" t="s">
        <v>2</v>
      </c>
      <c r="C2">
        <v>5</v>
      </c>
      <c r="E2" s="44"/>
      <c r="F2" s="9" t="s">
        <v>2</v>
      </c>
      <c r="G2" s="9" t="s">
        <v>3</v>
      </c>
      <c r="H2" s="9" t="s">
        <v>4</v>
      </c>
    </row>
    <row r="3" spans="1:8" x14ac:dyDescent="0.3">
      <c r="A3" s="45"/>
      <c r="B3" t="s">
        <v>3</v>
      </c>
      <c r="C3">
        <v>5</v>
      </c>
      <c r="E3" t="s">
        <v>5</v>
      </c>
      <c r="F3">
        <v>5</v>
      </c>
      <c r="G3">
        <v>5</v>
      </c>
      <c r="H3" t="s">
        <v>14</v>
      </c>
    </row>
    <row r="4" spans="1:8" x14ac:dyDescent="0.3">
      <c r="A4" s="45"/>
      <c r="B4" t="s">
        <v>4</v>
      </c>
      <c r="C4" t="s">
        <v>14</v>
      </c>
      <c r="E4" t="s">
        <v>6</v>
      </c>
      <c r="F4">
        <v>5</v>
      </c>
      <c r="G4">
        <v>10</v>
      </c>
      <c r="H4" t="s">
        <v>14</v>
      </c>
    </row>
    <row r="5" spans="1:8" x14ac:dyDescent="0.3">
      <c r="A5" s="45" t="s">
        <v>6</v>
      </c>
      <c r="B5" t="s">
        <v>2</v>
      </c>
      <c r="C5">
        <v>5</v>
      </c>
      <c r="E5" t="s">
        <v>7</v>
      </c>
      <c r="F5">
        <v>5</v>
      </c>
      <c r="G5">
        <v>15</v>
      </c>
      <c r="H5" t="s">
        <v>14</v>
      </c>
    </row>
    <row r="6" spans="1:8" x14ac:dyDescent="0.3">
      <c r="A6" s="45"/>
      <c r="B6" t="s">
        <v>3</v>
      </c>
      <c r="C6">
        <v>10</v>
      </c>
      <c r="E6" t="s">
        <v>8</v>
      </c>
      <c r="F6">
        <v>5</v>
      </c>
      <c r="G6">
        <v>5</v>
      </c>
      <c r="H6" t="s">
        <v>15</v>
      </c>
    </row>
    <row r="7" spans="1:8" x14ac:dyDescent="0.3">
      <c r="A7" s="45"/>
      <c r="B7" t="s">
        <v>4</v>
      </c>
      <c r="C7" t="s">
        <v>14</v>
      </c>
      <c r="E7" t="s">
        <v>9</v>
      </c>
      <c r="F7">
        <v>5</v>
      </c>
      <c r="G7">
        <v>10</v>
      </c>
      <c r="H7" t="s">
        <v>15</v>
      </c>
    </row>
    <row r="8" spans="1:8" x14ac:dyDescent="0.3">
      <c r="A8" s="45" t="s">
        <v>7</v>
      </c>
      <c r="B8" t="s">
        <v>2</v>
      </c>
      <c r="C8">
        <v>5</v>
      </c>
      <c r="E8" t="s">
        <v>10</v>
      </c>
      <c r="F8">
        <v>5</v>
      </c>
      <c r="G8">
        <v>15</v>
      </c>
      <c r="H8" t="s">
        <v>15</v>
      </c>
    </row>
    <row r="9" spans="1:8" x14ac:dyDescent="0.3">
      <c r="A9" s="45"/>
      <c r="B9" t="s">
        <v>3</v>
      </c>
      <c r="C9">
        <v>15</v>
      </c>
      <c r="E9" t="s">
        <v>11</v>
      </c>
      <c r="F9">
        <v>7</v>
      </c>
      <c r="G9">
        <v>5</v>
      </c>
      <c r="H9" t="s">
        <v>14</v>
      </c>
    </row>
    <row r="10" spans="1:8" x14ac:dyDescent="0.3">
      <c r="A10" s="45"/>
      <c r="B10" t="s">
        <v>4</v>
      </c>
      <c r="C10" t="s">
        <v>14</v>
      </c>
      <c r="E10" t="s">
        <v>12</v>
      </c>
      <c r="F10">
        <v>7</v>
      </c>
      <c r="G10">
        <v>10</v>
      </c>
      <c r="H10" t="s">
        <v>14</v>
      </c>
    </row>
    <row r="11" spans="1:8" x14ac:dyDescent="0.3">
      <c r="A11" s="45" t="s">
        <v>8</v>
      </c>
      <c r="B11" t="s">
        <v>2</v>
      </c>
      <c r="C11">
        <v>5</v>
      </c>
      <c r="E11" t="s">
        <v>13</v>
      </c>
      <c r="F11">
        <v>7</v>
      </c>
      <c r="G11">
        <v>15</v>
      </c>
      <c r="H11" t="s">
        <v>14</v>
      </c>
    </row>
    <row r="12" spans="1:8" x14ac:dyDescent="0.3">
      <c r="A12" s="45"/>
      <c r="B12" t="s">
        <v>3</v>
      </c>
      <c r="C12">
        <v>5</v>
      </c>
      <c r="E12" t="s">
        <v>16</v>
      </c>
      <c r="F12">
        <v>7</v>
      </c>
      <c r="G12">
        <v>5</v>
      </c>
      <c r="H12" t="s">
        <v>15</v>
      </c>
    </row>
    <row r="13" spans="1:8" x14ac:dyDescent="0.3">
      <c r="A13" s="45"/>
      <c r="B13" t="s">
        <v>4</v>
      </c>
      <c r="C13" t="s">
        <v>15</v>
      </c>
      <c r="E13" t="s">
        <v>17</v>
      </c>
      <c r="F13">
        <v>7</v>
      </c>
      <c r="G13">
        <v>10</v>
      </c>
      <c r="H13" t="s">
        <v>15</v>
      </c>
    </row>
    <row r="14" spans="1:8" x14ac:dyDescent="0.3">
      <c r="A14" s="45" t="s">
        <v>9</v>
      </c>
      <c r="B14" t="s">
        <v>2</v>
      </c>
      <c r="C14">
        <v>5</v>
      </c>
      <c r="E14" t="s">
        <v>18</v>
      </c>
      <c r="F14">
        <v>7</v>
      </c>
      <c r="G14">
        <v>15</v>
      </c>
      <c r="H14" t="s">
        <v>15</v>
      </c>
    </row>
    <row r="15" spans="1:8" x14ac:dyDescent="0.3">
      <c r="A15" s="45"/>
      <c r="B15" t="s">
        <v>3</v>
      </c>
      <c r="C15">
        <v>10</v>
      </c>
      <c r="E15" t="s">
        <v>19</v>
      </c>
      <c r="F15">
        <v>10</v>
      </c>
      <c r="G15">
        <v>5</v>
      </c>
      <c r="H15" t="s">
        <v>14</v>
      </c>
    </row>
    <row r="16" spans="1:8" x14ac:dyDescent="0.3">
      <c r="A16" s="45"/>
      <c r="B16" t="s">
        <v>4</v>
      </c>
      <c r="C16" t="s">
        <v>15</v>
      </c>
      <c r="E16" t="s">
        <v>20</v>
      </c>
      <c r="F16">
        <v>10</v>
      </c>
      <c r="G16">
        <v>10</v>
      </c>
      <c r="H16" t="s">
        <v>14</v>
      </c>
    </row>
    <row r="17" spans="1:8" x14ac:dyDescent="0.3">
      <c r="A17" s="45" t="s">
        <v>10</v>
      </c>
      <c r="B17" t="s">
        <v>2</v>
      </c>
      <c r="C17">
        <v>5</v>
      </c>
      <c r="E17" t="s">
        <v>21</v>
      </c>
      <c r="F17">
        <v>10</v>
      </c>
      <c r="G17">
        <v>15</v>
      </c>
      <c r="H17" t="s">
        <v>14</v>
      </c>
    </row>
    <row r="18" spans="1:8" x14ac:dyDescent="0.3">
      <c r="A18" s="45"/>
      <c r="B18" t="s">
        <v>3</v>
      </c>
      <c r="C18">
        <v>15</v>
      </c>
      <c r="E18" t="s">
        <v>22</v>
      </c>
      <c r="F18">
        <v>10</v>
      </c>
      <c r="G18">
        <v>5</v>
      </c>
      <c r="H18" t="s">
        <v>15</v>
      </c>
    </row>
    <row r="19" spans="1:8" x14ac:dyDescent="0.3">
      <c r="A19" s="45"/>
      <c r="B19" t="s">
        <v>4</v>
      </c>
      <c r="C19" t="s">
        <v>15</v>
      </c>
      <c r="E19" t="s">
        <v>23</v>
      </c>
      <c r="F19">
        <v>10</v>
      </c>
      <c r="G19">
        <v>10</v>
      </c>
      <c r="H19" t="s">
        <v>15</v>
      </c>
    </row>
    <row r="20" spans="1:8" x14ac:dyDescent="0.3">
      <c r="A20" s="45" t="s">
        <v>11</v>
      </c>
      <c r="B20" t="s">
        <v>2</v>
      </c>
      <c r="C20">
        <v>7</v>
      </c>
      <c r="E20" t="s">
        <v>24</v>
      </c>
      <c r="F20">
        <v>10</v>
      </c>
      <c r="G20">
        <v>15</v>
      </c>
      <c r="H20" t="s">
        <v>15</v>
      </c>
    </row>
    <row r="21" spans="1:8" x14ac:dyDescent="0.3">
      <c r="A21" s="45"/>
      <c r="B21" t="s">
        <v>3</v>
      </c>
      <c r="C21">
        <v>5</v>
      </c>
    </row>
    <row r="22" spans="1:8" x14ac:dyDescent="0.3">
      <c r="A22" s="45"/>
      <c r="B22" t="s">
        <v>4</v>
      </c>
      <c r="C22" t="s">
        <v>14</v>
      </c>
    </row>
    <row r="23" spans="1:8" x14ac:dyDescent="0.3">
      <c r="A23" s="45" t="s">
        <v>12</v>
      </c>
      <c r="B23" t="s">
        <v>2</v>
      </c>
      <c r="C23">
        <v>7</v>
      </c>
    </row>
    <row r="24" spans="1:8" x14ac:dyDescent="0.3">
      <c r="A24" s="45"/>
      <c r="B24" t="s">
        <v>3</v>
      </c>
      <c r="C24">
        <v>10</v>
      </c>
    </row>
    <row r="25" spans="1:8" x14ac:dyDescent="0.3">
      <c r="A25" s="45"/>
      <c r="B25" t="s">
        <v>4</v>
      </c>
      <c r="C25" t="s">
        <v>14</v>
      </c>
    </row>
    <row r="26" spans="1:8" x14ac:dyDescent="0.3">
      <c r="A26" s="45" t="s">
        <v>13</v>
      </c>
      <c r="B26" t="s">
        <v>2</v>
      </c>
      <c r="C26">
        <v>7</v>
      </c>
    </row>
    <row r="27" spans="1:8" x14ac:dyDescent="0.3">
      <c r="A27" s="45"/>
      <c r="B27" t="s">
        <v>3</v>
      </c>
      <c r="C27">
        <v>15</v>
      </c>
    </row>
    <row r="28" spans="1:8" x14ac:dyDescent="0.3">
      <c r="A28" s="45"/>
      <c r="B28" t="s">
        <v>4</v>
      </c>
      <c r="C28" t="s">
        <v>14</v>
      </c>
    </row>
    <row r="29" spans="1:8" x14ac:dyDescent="0.3">
      <c r="A29" s="45" t="s">
        <v>16</v>
      </c>
      <c r="B29" t="s">
        <v>2</v>
      </c>
      <c r="C29">
        <v>7</v>
      </c>
    </row>
    <row r="30" spans="1:8" x14ac:dyDescent="0.3">
      <c r="A30" s="45"/>
      <c r="B30" t="s">
        <v>3</v>
      </c>
      <c r="C30">
        <v>5</v>
      </c>
    </row>
    <row r="31" spans="1:8" x14ac:dyDescent="0.3">
      <c r="A31" s="45"/>
      <c r="B31" t="s">
        <v>4</v>
      </c>
      <c r="C31" t="s">
        <v>15</v>
      </c>
    </row>
    <row r="32" spans="1:8" x14ac:dyDescent="0.3">
      <c r="A32" s="45" t="s">
        <v>17</v>
      </c>
      <c r="B32" t="s">
        <v>2</v>
      </c>
      <c r="C32">
        <v>7</v>
      </c>
    </row>
    <row r="33" spans="1:3" x14ac:dyDescent="0.3">
      <c r="A33" s="45"/>
      <c r="B33" t="s">
        <v>3</v>
      </c>
      <c r="C33">
        <v>10</v>
      </c>
    </row>
    <row r="34" spans="1:3" x14ac:dyDescent="0.3">
      <c r="A34" s="45"/>
      <c r="B34" t="s">
        <v>4</v>
      </c>
      <c r="C34" t="s">
        <v>15</v>
      </c>
    </row>
    <row r="35" spans="1:3" x14ac:dyDescent="0.3">
      <c r="A35" s="45" t="s">
        <v>18</v>
      </c>
      <c r="B35" t="s">
        <v>2</v>
      </c>
      <c r="C35">
        <v>7</v>
      </c>
    </row>
    <row r="36" spans="1:3" x14ac:dyDescent="0.3">
      <c r="A36" s="45"/>
      <c r="B36" t="s">
        <v>3</v>
      </c>
      <c r="C36">
        <v>15</v>
      </c>
    </row>
    <row r="37" spans="1:3" x14ac:dyDescent="0.3">
      <c r="A37" s="45"/>
      <c r="B37" t="s">
        <v>4</v>
      </c>
      <c r="C37" t="s">
        <v>15</v>
      </c>
    </row>
    <row r="38" spans="1:3" x14ac:dyDescent="0.3">
      <c r="A38" s="45" t="s">
        <v>19</v>
      </c>
      <c r="B38" t="s">
        <v>2</v>
      </c>
      <c r="C38">
        <v>10</v>
      </c>
    </row>
    <row r="39" spans="1:3" x14ac:dyDescent="0.3">
      <c r="A39" s="45"/>
      <c r="B39" t="s">
        <v>3</v>
      </c>
      <c r="C39">
        <v>5</v>
      </c>
    </row>
    <row r="40" spans="1:3" x14ac:dyDescent="0.3">
      <c r="A40" s="45"/>
      <c r="B40" t="s">
        <v>4</v>
      </c>
      <c r="C40" t="s">
        <v>14</v>
      </c>
    </row>
    <row r="41" spans="1:3" x14ac:dyDescent="0.3">
      <c r="A41" s="45" t="s">
        <v>20</v>
      </c>
      <c r="B41" t="s">
        <v>2</v>
      </c>
      <c r="C41">
        <v>10</v>
      </c>
    </row>
    <row r="42" spans="1:3" x14ac:dyDescent="0.3">
      <c r="A42" s="45"/>
      <c r="B42" t="s">
        <v>3</v>
      </c>
      <c r="C42">
        <v>10</v>
      </c>
    </row>
    <row r="43" spans="1:3" x14ac:dyDescent="0.3">
      <c r="A43" s="45"/>
      <c r="B43" t="s">
        <v>4</v>
      </c>
      <c r="C43" t="s">
        <v>14</v>
      </c>
    </row>
    <row r="44" spans="1:3" x14ac:dyDescent="0.3">
      <c r="A44" s="45" t="s">
        <v>21</v>
      </c>
      <c r="B44" t="s">
        <v>2</v>
      </c>
      <c r="C44">
        <v>10</v>
      </c>
    </row>
    <row r="45" spans="1:3" x14ac:dyDescent="0.3">
      <c r="A45" s="45"/>
      <c r="B45" t="s">
        <v>3</v>
      </c>
      <c r="C45">
        <v>15</v>
      </c>
    </row>
    <row r="46" spans="1:3" x14ac:dyDescent="0.3">
      <c r="A46" s="45"/>
      <c r="B46" t="s">
        <v>4</v>
      </c>
      <c r="C46" t="s">
        <v>14</v>
      </c>
    </row>
    <row r="47" spans="1:3" x14ac:dyDescent="0.3">
      <c r="A47" s="45" t="s">
        <v>22</v>
      </c>
      <c r="B47" t="s">
        <v>2</v>
      </c>
      <c r="C47">
        <v>10</v>
      </c>
    </row>
    <row r="48" spans="1:3" x14ac:dyDescent="0.3">
      <c r="A48" s="45"/>
      <c r="B48" t="s">
        <v>3</v>
      </c>
      <c r="C48">
        <v>5</v>
      </c>
    </row>
    <row r="49" spans="1:3" x14ac:dyDescent="0.3">
      <c r="A49" s="45"/>
      <c r="B49" t="s">
        <v>4</v>
      </c>
      <c r="C49" t="s">
        <v>15</v>
      </c>
    </row>
    <row r="50" spans="1:3" x14ac:dyDescent="0.3">
      <c r="A50" s="45" t="s">
        <v>23</v>
      </c>
      <c r="B50" t="s">
        <v>2</v>
      </c>
      <c r="C50">
        <v>10</v>
      </c>
    </row>
    <row r="51" spans="1:3" x14ac:dyDescent="0.3">
      <c r="A51" s="45"/>
      <c r="B51" t="s">
        <v>3</v>
      </c>
      <c r="C51">
        <v>10</v>
      </c>
    </row>
    <row r="52" spans="1:3" x14ac:dyDescent="0.3">
      <c r="A52" s="45"/>
      <c r="B52" t="s">
        <v>4</v>
      </c>
      <c r="C52" t="s">
        <v>15</v>
      </c>
    </row>
    <row r="53" spans="1:3" x14ac:dyDescent="0.3">
      <c r="A53" s="45" t="s">
        <v>24</v>
      </c>
      <c r="B53" t="s">
        <v>2</v>
      </c>
      <c r="C53">
        <v>10</v>
      </c>
    </row>
    <row r="54" spans="1:3" x14ac:dyDescent="0.3">
      <c r="A54" s="45"/>
      <c r="B54" t="s">
        <v>3</v>
      </c>
      <c r="C54">
        <v>15</v>
      </c>
    </row>
    <row r="55" spans="1:3" x14ac:dyDescent="0.3">
      <c r="A55" s="45"/>
      <c r="B55" t="s">
        <v>4</v>
      </c>
      <c r="C55" t="s">
        <v>15</v>
      </c>
    </row>
  </sheetData>
  <mergeCells count="21">
    <mergeCell ref="A44:A46"/>
    <mergeCell ref="A47:A49"/>
    <mergeCell ref="A50:A52"/>
    <mergeCell ref="A53:A55"/>
    <mergeCell ref="A29:A31"/>
    <mergeCell ref="A32:A34"/>
    <mergeCell ref="A35:A37"/>
    <mergeCell ref="A38:A40"/>
    <mergeCell ref="A41:A43"/>
    <mergeCell ref="A26:A28"/>
    <mergeCell ref="B1:C1"/>
    <mergeCell ref="A2:A4"/>
    <mergeCell ref="A5:A7"/>
    <mergeCell ref="A8:A10"/>
    <mergeCell ref="A11:A13"/>
    <mergeCell ref="A14:A16"/>
    <mergeCell ref="F1:H1"/>
    <mergeCell ref="E1:E2"/>
    <mergeCell ref="A17:A19"/>
    <mergeCell ref="A20:A22"/>
    <mergeCell ref="A23:A25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57336-455C-4BA6-9026-52B856A55B4C}">
  <dimension ref="A2:F255"/>
  <sheetViews>
    <sheetView topLeftCell="A197" workbookViewId="0">
      <selection activeCell="I23" sqref="I23"/>
    </sheetView>
  </sheetViews>
  <sheetFormatPr defaultRowHeight="14.4" x14ac:dyDescent="0.3"/>
  <cols>
    <col min="1" max="1" width="9.5546875" bestFit="1" customWidth="1"/>
    <col min="3" max="3" width="16.5546875" bestFit="1" customWidth="1"/>
    <col min="4" max="4" width="25.77734375" bestFit="1" customWidth="1"/>
    <col min="5" max="5" width="23.33203125" bestFit="1" customWidth="1"/>
    <col min="6" max="6" width="12.44140625" bestFit="1" customWidth="1"/>
  </cols>
  <sheetData>
    <row r="2" spans="1:6" x14ac:dyDescent="0.3">
      <c r="A2" s="44" t="s">
        <v>0</v>
      </c>
      <c r="B2" s="46" t="s">
        <v>25</v>
      </c>
      <c r="C2" s="46" t="s">
        <v>29</v>
      </c>
      <c r="D2" s="46"/>
      <c r="E2" s="46"/>
      <c r="F2" s="46"/>
    </row>
    <row r="3" spans="1:6" x14ac:dyDescent="0.3">
      <c r="A3" s="44"/>
      <c r="B3" s="46"/>
      <c r="C3" s="17" t="s">
        <v>26</v>
      </c>
      <c r="D3" s="2" t="s">
        <v>43</v>
      </c>
      <c r="E3" s="2" t="s">
        <v>27</v>
      </c>
      <c r="F3" s="2" t="s">
        <v>28</v>
      </c>
    </row>
    <row r="4" spans="1:6" x14ac:dyDescent="0.3">
      <c r="A4" s="47" t="s">
        <v>5</v>
      </c>
      <c r="B4" s="4">
        <v>1</v>
      </c>
      <c r="C4" s="32">
        <v>8.3333333333333339</v>
      </c>
      <c r="D4" s="4">
        <v>9</v>
      </c>
      <c r="E4" s="32">
        <v>6.1623380000000001</v>
      </c>
      <c r="F4" s="5">
        <v>537</v>
      </c>
    </row>
    <row r="5" spans="1:6" x14ac:dyDescent="0.3">
      <c r="A5" s="48"/>
      <c r="B5">
        <v>2</v>
      </c>
      <c r="C5" s="33">
        <v>6</v>
      </c>
      <c r="D5">
        <v>9</v>
      </c>
      <c r="E5" s="33">
        <v>8.4960939999999994</v>
      </c>
      <c r="F5" s="6">
        <v>615.5</v>
      </c>
    </row>
    <row r="6" spans="1:6" x14ac:dyDescent="0.3">
      <c r="A6" s="48"/>
      <c r="B6">
        <v>3</v>
      </c>
      <c r="C6" s="33">
        <v>5.666666666666667</v>
      </c>
      <c r="D6">
        <v>8</v>
      </c>
      <c r="E6" s="33">
        <v>9.5797869999999996</v>
      </c>
      <c r="F6" s="6">
        <v>515.5</v>
      </c>
    </row>
    <row r="7" spans="1:6" x14ac:dyDescent="0.3">
      <c r="A7" s="48"/>
      <c r="B7">
        <v>4</v>
      </c>
      <c r="C7" s="33">
        <v>4.5</v>
      </c>
      <c r="D7">
        <v>9</v>
      </c>
      <c r="E7" s="33">
        <v>4.6863640000000002</v>
      </c>
      <c r="F7" s="6">
        <v>308.25</v>
      </c>
    </row>
    <row r="8" spans="1:6" x14ac:dyDescent="0.3">
      <c r="A8" s="49"/>
      <c r="B8" s="7">
        <v>5</v>
      </c>
      <c r="C8" s="34">
        <v>5.333333333333333</v>
      </c>
      <c r="D8" s="7">
        <v>9</v>
      </c>
      <c r="E8" s="34">
        <v>5.1235629999999999</v>
      </c>
      <c r="F8" s="8">
        <v>525.5</v>
      </c>
    </row>
    <row r="9" spans="1:6" x14ac:dyDescent="0.3">
      <c r="A9" s="47" t="s">
        <v>6</v>
      </c>
      <c r="B9" s="4">
        <v>1</v>
      </c>
      <c r="C9" s="35">
        <v>8.1666666666666661</v>
      </c>
      <c r="D9" s="4">
        <v>7</v>
      </c>
      <c r="E9" s="32">
        <v>5.1294639999999996</v>
      </c>
      <c r="F9" s="5">
        <v>352.75</v>
      </c>
    </row>
    <row r="10" spans="1:6" x14ac:dyDescent="0.3">
      <c r="A10" s="48"/>
      <c r="B10">
        <v>2</v>
      </c>
      <c r="C10" s="36">
        <v>7.5</v>
      </c>
      <c r="D10">
        <v>9</v>
      </c>
      <c r="E10" s="33">
        <v>5.155405</v>
      </c>
      <c r="F10" s="6">
        <v>470</v>
      </c>
    </row>
    <row r="11" spans="1:6" x14ac:dyDescent="0.3">
      <c r="A11" s="48"/>
      <c r="B11">
        <v>3</v>
      </c>
      <c r="C11" s="36">
        <v>7.333333333333333</v>
      </c>
      <c r="D11">
        <v>8</v>
      </c>
      <c r="E11" s="33">
        <v>4.8106059999999999</v>
      </c>
      <c r="F11" s="6">
        <v>214</v>
      </c>
    </row>
    <row r="12" spans="1:6" x14ac:dyDescent="0.3">
      <c r="A12" s="48"/>
      <c r="B12">
        <v>4</v>
      </c>
      <c r="C12" s="36">
        <v>6.333333333333333</v>
      </c>
      <c r="D12">
        <v>8</v>
      </c>
      <c r="E12" s="33">
        <v>3.625</v>
      </c>
      <c r="F12" s="6">
        <v>301.5</v>
      </c>
    </row>
    <row r="13" spans="1:6" x14ac:dyDescent="0.3">
      <c r="A13" s="48"/>
      <c r="B13">
        <v>5</v>
      </c>
      <c r="C13" s="36">
        <v>7.833333333333333</v>
      </c>
      <c r="D13">
        <v>9</v>
      </c>
      <c r="E13" s="33">
        <v>2.9358970000000002</v>
      </c>
      <c r="F13" s="6">
        <v>145.5</v>
      </c>
    </row>
    <row r="14" spans="1:6" x14ac:dyDescent="0.3">
      <c r="A14" s="48"/>
      <c r="B14">
        <v>6</v>
      </c>
      <c r="C14" s="36">
        <v>5.166666666666667</v>
      </c>
      <c r="D14">
        <v>9</v>
      </c>
      <c r="E14" s="33">
        <v>2.545455</v>
      </c>
      <c r="F14" s="6">
        <v>84.25</v>
      </c>
    </row>
    <row r="15" spans="1:6" x14ac:dyDescent="0.3">
      <c r="A15" s="48"/>
      <c r="B15">
        <v>7</v>
      </c>
      <c r="C15" s="36">
        <v>6</v>
      </c>
      <c r="D15">
        <v>9</v>
      </c>
      <c r="E15" s="33">
        <v>2.5249999999999999</v>
      </c>
      <c r="F15" s="6">
        <v>307.75</v>
      </c>
    </row>
    <row r="16" spans="1:6" x14ac:dyDescent="0.3">
      <c r="A16" s="48"/>
      <c r="B16">
        <v>8</v>
      </c>
      <c r="C16" s="36">
        <v>9.1666666666666661</v>
      </c>
      <c r="D16">
        <v>9</v>
      </c>
      <c r="E16" s="33">
        <v>1.5863640000000001</v>
      </c>
      <c r="F16" s="6">
        <v>184.25</v>
      </c>
    </row>
    <row r="17" spans="1:6" x14ac:dyDescent="0.3">
      <c r="A17" s="48"/>
      <c r="B17">
        <v>9</v>
      </c>
      <c r="C17" s="36">
        <v>7.833333333333333</v>
      </c>
      <c r="D17">
        <v>9</v>
      </c>
      <c r="E17" s="33">
        <v>2.7727270000000002</v>
      </c>
      <c r="F17" s="6">
        <v>217.75</v>
      </c>
    </row>
    <row r="18" spans="1:6" x14ac:dyDescent="0.3">
      <c r="A18" s="49"/>
      <c r="B18" s="7">
        <v>10</v>
      </c>
      <c r="C18" s="37">
        <v>6.833333333333333</v>
      </c>
      <c r="D18" s="7">
        <v>10</v>
      </c>
      <c r="E18" s="34">
        <v>4.7565790000000003</v>
      </c>
      <c r="F18" s="8">
        <v>224</v>
      </c>
    </row>
    <row r="19" spans="1:6" x14ac:dyDescent="0.3">
      <c r="A19" s="47" t="s">
        <v>7</v>
      </c>
      <c r="B19" s="4">
        <v>1</v>
      </c>
      <c r="C19" s="32">
        <v>7.166666666666667</v>
      </c>
      <c r="D19" s="4">
        <v>7</v>
      </c>
      <c r="E19" s="32">
        <v>4.8125</v>
      </c>
      <c r="F19" s="5">
        <v>298.25</v>
      </c>
    </row>
    <row r="20" spans="1:6" x14ac:dyDescent="0.3">
      <c r="A20" s="48"/>
      <c r="B20">
        <v>2</v>
      </c>
      <c r="C20" s="33">
        <v>8</v>
      </c>
      <c r="D20">
        <v>9</v>
      </c>
      <c r="E20" s="33">
        <v>1.9836956521739131</v>
      </c>
      <c r="F20" s="6">
        <v>182</v>
      </c>
    </row>
    <row r="21" spans="1:6" x14ac:dyDescent="0.3">
      <c r="A21" s="48"/>
      <c r="B21">
        <v>3</v>
      </c>
      <c r="C21" s="33">
        <v>6.666666666666667</v>
      </c>
      <c r="D21">
        <v>8</v>
      </c>
      <c r="E21" s="33">
        <v>1.862903225806452</v>
      </c>
      <c r="F21" s="6">
        <v>114.25</v>
      </c>
    </row>
    <row r="22" spans="1:6" x14ac:dyDescent="0.3">
      <c r="A22" s="48"/>
      <c r="B22">
        <v>4</v>
      </c>
      <c r="C22" s="33">
        <v>6.166666666666667</v>
      </c>
      <c r="D22">
        <v>8</v>
      </c>
      <c r="E22" s="33">
        <v>1.971428571428572</v>
      </c>
      <c r="F22" s="6">
        <v>141.5</v>
      </c>
    </row>
    <row r="23" spans="1:6" x14ac:dyDescent="0.3">
      <c r="A23" s="48"/>
      <c r="B23">
        <v>5</v>
      </c>
      <c r="C23" s="33">
        <v>7.166666666666667</v>
      </c>
      <c r="D23">
        <v>9</v>
      </c>
      <c r="E23" s="33">
        <v>2.9358974358974361</v>
      </c>
      <c r="F23" s="6">
        <v>145.5</v>
      </c>
    </row>
    <row r="24" spans="1:6" x14ac:dyDescent="0.3">
      <c r="A24" s="48"/>
      <c r="B24">
        <v>6</v>
      </c>
      <c r="C24" s="33">
        <v>8</v>
      </c>
      <c r="D24">
        <v>7</v>
      </c>
      <c r="E24" s="33">
        <v>1.8510638297872339</v>
      </c>
      <c r="F24" s="6">
        <v>160</v>
      </c>
    </row>
    <row r="25" spans="1:6" x14ac:dyDescent="0.3">
      <c r="A25" s="48"/>
      <c r="B25">
        <v>7</v>
      </c>
      <c r="C25" s="33">
        <v>9</v>
      </c>
      <c r="D25">
        <v>8</v>
      </c>
      <c r="E25" s="33">
        <v>3.0249999999999999</v>
      </c>
      <c r="F25" s="6">
        <v>54.5</v>
      </c>
    </row>
    <row r="26" spans="1:6" x14ac:dyDescent="0.3">
      <c r="A26" s="48"/>
      <c r="B26">
        <v>8</v>
      </c>
      <c r="C26" s="33">
        <v>6.166666666666667</v>
      </c>
      <c r="D26">
        <v>9</v>
      </c>
      <c r="E26" s="33">
        <v>2.545454545454545</v>
      </c>
      <c r="F26" s="6">
        <v>84.25</v>
      </c>
    </row>
    <row r="27" spans="1:6" x14ac:dyDescent="0.3">
      <c r="A27" s="48"/>
      <c r="B27">
        <v>9</v>
      </c>
      <c r="C27" s="33">
        <v>8</v>
      </c>
      <c r="D27">
        <v>9</v>
      </c>
      <c r="E27" s="33">
        <v>3.745454545454546</v>
      </c>
      <c r="F27" s="6">
        <v>288</v>
      </c>
    </row>
    <row r="28" spans="1:6" x14ac:dyDescent="0.3">
      <c r="A28" s="48"/>
      <c r="B28">
        <v>10</v>
      </c>
      <c r="C28" s="33">
        <v>8</v>
      </c>
      <c r="D28">
        <v>8</v>
      </c>
      <c r="E28" s="33">
        <v>2.0161290322580649</v>
      </c>
      <c r="F28" s="6">
        <v>231.75</v>
      </c>
    </row>
    <row r="29" spans="1:6" x14ac:dyDescent="0.3">
      <c r="A29" s="48"/>
      <c r="B29">
        <v>11</v>
      </c>
      <c r="C29" s="33">
        <v>8.5</v>
      </c>
      <c r="D29">
        <v>9</v>
      </c>
      <c r="E29" s="33">
        <v>1.586363636363636</v>
      </c>
      <c r="F29" s="6">
        <v>184.25</v>
      </c>
    </row>
    <row r="30" spans="1:6" x14ac:dyDescent="0.3">
      <c r="A30" s="48"/>
      <c r="B30">
        <v>12</v>
      </c>
      <c r="C30" s="33">
        <v>8.1666666666666661</v>
      </c>
      <c r="D30">
        <v>9</v>
      </c>
      <c r="E30" s="33">
        <v>2.7727272727272729</v>
      </c>
      <c r="F30" s="6">
        <v>217.75</v>
      </c>
    </row>
    <row r="31" spans="1:6" x14ac:dyDescent="0.3">
      <c r="A31" s="48"/>
      <c r="B31">
        <v>13</v>
      </c>
      <c r="C31" s="33">
        <v>6.833333333333333</v>
      </c>
      <c r="D31">
        <v>9</v>
      </c>
      <c r="E31" s="33">
        <v>4.7565789473684212</v>
      </c>
      <c r="F31" s="6">
        <v>224</v>
      </c>
    </row>
    <row r="32" spans="1:6" x14ac:dyDescent="0.3">
      <c r="A32" s="48"/>
      <c r="B32">
        <v>14</v>
      </c>
      <c r="C32" s="33">
        <v>6.666666666666667</v>
      </c>
      <c r="D32">
        <v>8</v>
      </c>
      <c r="E32" s="33">
        <v>2.25</v>
      </c>
      <c r="F32" s="6">
        <v>76</v>
      </c>
    </row>
    <row r="33" spans="1:6" x14ac:dyDescent="0.3">
      <c r="A33" s="48"/>
      <c r="B33">
        <v>15</v>
      </c>
      <c r="C33" s="33">
        <v>6.333333333333333</v>
      </c>
      <c r="D33">
        <v>8</v>
      </c>
      <c r="E33" s="33">
        <v>3.916666666666667</v>
      </c>
      <c r="F33" s="6">
        <v>99.75</v>
      </c>
    </row>
    <row r="34" spans="1:6" x14ac:dyDescent="0.3">
      <c r="A34" s="47" t="s">
        <v>8</v>
      </c>
      <c r="B34" s="4">
        <v>1</v>
      </c>
      <c r="C34" s="32">
        <v>7.333333333333333</v>
      </c>
      <c r="D34" s="4">
        <v>7</v>
      </c>
      <c r="E34" s="32">
        <v>5.1188524590163933</v>
      </c>
      <c r="F34" s="5">
        <v>379.25</v>
      </c>
    </row>
    <row r="35" spans="1:6" x14ac:dyDescent="0.3">
      <c r="A35" s="48"/>
      <c r="B35">
        <v>2</v>
      </c>
      <c r="C35" s="33">
        <v>2.6666666666666665</v>
      </c>
      <c r="D35">
        <v>8</v>
      </c>
      <c r="E35" s="33">
        <v>270.96428571428572</v>
      </c>
      <c r="F35" s="6">
        <v>1910.75</v>
      </c>
    </row>
    <row r="36" spans="1:6" x14ac:dyDescent="0.3">
      <c r="A36" s="48"/>
      <c r="B36">
        <v>3</v>
      </c>
      <c r="C36" s="33">
        <v>6.5</v>
      </c>
      <c r="D36">
        <v>7</v>
      </c>
      <c r="E36" s="33">
        <v>2.9519230769230771</v>
      </c>
      <c r="F36" s="6">
        <v>149.5</v>
      </c>
    </row>
    <row r="37" spans="1:6" x14ac:dyDescent="0.3">
      <c r="A37" s="48"/>
      <c r="B37">
        <v>4</v>
      </c>
      <c r="C37" s="33">
        <v>7.833333333333333</v>
      </c>
      <c r="D37">
        <v>7</v>
      </c>
      <c r="E37" s="33">
        <v>1</v>
      </c>
      <c r="F37" s="6">
        <v>24.5</v>
      </c>
    </row>
    <row r="38" spans="1:6" x14ac:dyDescent="0.3">
      <c r="A38" s="49"/>
      <c r="B38" s="7">
        <v>5</v>
      </c>
      <c r="C38" s="34">
        <v>6.166666666666667</v>
      </c>
      <c r="D38" s="7">
        <v>8</v>
      </c>
      <c r="E38" s="34">
        <v>1.7777777777777779</v>
      </c>
      <c r="F38" s="8">
        <v>37.75</v>
      </c>
    </row>
    <row r="39" spans="1:6" x14ac:dyDescent="0.3">
      <c r="A39" s="47" t="s">
        <v>9</v>
      </c>
      <c r="B39" s="4">
        <v>1</v>
      </c>
      <c r="C39" s="32">
        <v>7.333333333333333</v>
      </c>
      <c r="D39" s="4">
        <v>8</v>
      </c>
      <c r="E39" s="32">
        <v>5.3114035087719298</v>
      </c>
      <c r="F39" s="5">
        <v>372.75</v>
      </c>
    </row>
    <row r="40" spans="1:6" x14ac:dyDescent="0.3">
      <c r="A40" s="48"/>
      <c r="B40">
        <v>2</v>
      </c>
      <c r="C40" s="33">
        <v>2.8333333333333335</v>
      </c>
      <c r="D40">
        <v>8</v>
      </c>
      <c r="E40" s="33">
        <v>57.08653846153846</v>
      </c>
      <c r="F40" s="6">
        <v>1518.5</v>
      </c>
    </row>
    <row r="41" spans="1:6" x14ac:dyDescent="0.3">
      <c r="A41" s="48"/>
      <c r="B41">
        <v>3</v>
      </c>
      <c r="C41" s="33">
        <v>6.333333333333333</v>
      </c>
      <c r="D41">
        <v>6</v>
      </c>
      <c r="E41" s="33">
        <v>2.9519230769230771</v>
      </c>
      <c r="F41" s="6">
        <v>149.5</v>
      </c>
    </row>
    <row r="42" spans="1:6" x14ac:dyDescent="0.3">
      <c r="A42" s="48"/>
      <c r="B42">
        <v>4</v>
      </c>
      <c r="C42" s="33">
        <v>6.833333333333333</v>
      </c>
      <c r="D42">
        <v>5</v>
      </c>
      <c r="E42" s="33">
        <v>1.7071428571428571</v>
      </c>
      <c r="F42" s="6">
        <v>131.5</v>
      </c>
    </row>
    <row r="43" spans="1:6" x14ac:dyDescent="0.3">
      <c r="A43" s="48"/>
      <c r="B43">
        <v>5</v>
      </c>
      <c r="C43" s="33">
        <v>5.333333333333333</v>
      </c>
      <c r="D43">
        <v>9</v>
      </c>
      <c r="E43" s="33">
        <v>2.9078947368421049</v>
      </c>
      <c r="F43" s="6">
        <v>185</v>
      </c>
    </row>
    <row r="44" spans="1:6" x14ac:dyDescent="0.3">
      <c r="A44" s="48"/>
      <c r="B44">
        <v>6</v>
      </c>
      <c r="C44" s="33">
        <v>4.666666666666667</v>
      </c>
      <c r="D44">
        <v>7</v>
      </c>
      <c r="E44" s="33">
        <v>2.2272727272727271</v>
      </c>
      <c r="F44" s="6">
        <v>75.75</v>
      </c>
    </row>
    <row r="45" spans="1:6" x14ac:dyDescent="0.3">
      <c r="A45" s="48"/>
      <c r="B45">
        <v>7</v>
      </c>
      <c r="C45" s="33">
        <v>8.5</v>
      </c>
      <c r="D45">
        <v>8</v>
      </c>
      <c r="E45" s="33">
        <v>0</v>
      </c>
      <c r="F45" s="6">
        <v>17.5</v>
      </c>
    </row>
    <row r="46" spans="1:6" x14ac:dyDescent="0.3">
      <c r="A46" s="48"/>
      <c r="B46">
        <v>8</v>
      </c>
      <c r="C46" s="33">
        <v>7.5</v>
      </c>
      <c r="D46">
        <v>6</v>
      </c>
      <c r="E46" s="33">
        <v>1.7777777777777779</v>
      </c>
      <c r="F46" s="6">
        <v>37.75</v>
      </c>
    </row>
    <row r="47" spans="1:6" x14ac:dyDescent="0.3">
      <c r="A47" s="48"/>
      <c r="B47">
        <v>9</v>
      </c>
      <c r="C47" s="33">
        <v>9.3333333333333339</v>
      </c>
      <c r="D47">
        <v>7</v>
      </c>
      <c r="E47" s="33">
        <v>1</v>
      </c>
      <c r="F47" s="6">
        <v>6.5</v>
      </c>
    </row>
    <row r="48" spans="1:6" x14ac:dyDescent="0.3">
      <c r="A48" s="49"/>
      <c r="B48" s="7">
        <v>10</v>
      </c>
      <c r="C48" s="34">
        <v>8.3333333333333339</v>
      </c>
      <c r="D48" s="7">
        <v>8</v>
      </c>
      <c r="E48" s="34">
        <v>0</v>
      </c>
      <c r="F48" s="8">
        <v>7</v>
      </c>
    </row>
    <row r="49" spans="1:6" x14ac:dyDescent="0.3">
      <c r="A49" s="47" t="s">
        <v>10</v>
      </c>
      <c r="B49" s="4">
        <v>1</v>
      </c>
      <c r="C49" s="32">
        <v>6.5</v>
      </c>
      <c r="D49" s="4">
        <v>9</v>
      </c>
      <c r="E49" s="32">
        <v>5.3114035087719298</v>
      </c>
      <c r="F49" s="5">
        <v>372.75</v>
      </c>
    </row>
    <row r="50" spans="1:6" x14ac:dyDescent="0.3">
      <c r="A50" s="48"/>
      <c r="B50">
        <v>2</v>
      </c>
      <c r="C50" s="33">
        <v>2.3333333333333335</v>
      </c>
      <c r="D50">
        <v>9</v>
      </c>
      <c r="E50" s="33">
        <v>57.08653846153846</v>
      </c>
      <c r="F50" s="6">
        <v>1518.5</v>
      </c>
    </row>
    <row r="51" spans="1:6" x14ac:dyDescent="0.3">
      <c r="A51" s="48"/>
      <c r="B51">
        <v>3</v>
      </c>
      <c r="C51" s="33">
        <v>5.833333333333333</v>
      </c>
      <c r="D51">
        <v>7</v>
      </c>
      <c r="E51" s="33">
        <v>2.9519230769230771</v>
      </c>
      <c r="F51" s="6">
        <v>149.5</v>
      </c>
    </row>
    <row r="52" spans="1:6" x14ac:dyDescent="0.3">
      <c r="A52" s="48"/>
      <c r="B52">
        <v>4</v>
      </c>
      <c r="C52" s="33">
        <v>6.166666666666667</v>
      </c>
      <c r="D52">
        <v>6</v>
      </c>
      <c r="E52" s="33">
        <v>1.7071428571428571</v>
      </c>
      <c r="F52" s="6">
        <v>131.5</v>
      </c>
    </row>
    <row r="53" spans="1:6" x14ac:dyDescent="0.3">
      <c r="A53" s="48"/>
      <c r="B53">
        <v>5</v>
      </c>
      <c r="C53" s="33">
        <v>7.5</v>
      </c>
      <c r="D53">
        <v>8</v>
      </c>
      <c r="E53" s="33">
        <v>1.8125</v>
      </c>
      <c r="F53" s="6">
        <v>58.5</v>
      </c>
    </row>
    <row r="54" spans="1:6" x14ac:dyDescent="0.3">
      <c r="A54" s="48"/>
      <c r="B54">
        <v>6</v>
      </c>
      <c r="C54" s="33">
        <v>8.1666666666666661</v>
      </c>
      <c r="D54">
        <v>9</v>
      </c>
      <c r="E54" s="33">
        <v>2.9615384615384621</v>
      </c>
      <c r="F54" s="6">
        <v>61.5</v>
      </c>
    </row>
    <row r="55" spans="1:6" x14ac:dyDescent="0.3">
      <c r="A55" s="48"/>
      <c r="B55">
        <v>7</v>
      </c>
      <c r="C55" s="33">
        <v>8.5</v>
      </c>
      <c r="D55">
        <v>8</v>
      </c>
      <c r="E55" s="33">
        <v>1.75</v>
      </c>
      <c r="F55" s="6">
        <v>29.25</v>
      </c>
    </row>
    <row r="56" spans="1:6" x14ac:dyDescent="0.3">
      <c r="A56" s="48"/>
      <c r="B56">
        <v>8</v>
      </c>
      <c r="C56" s="33">
        <v>7</v>
      </c>
      <c r="D56">
        <v>9</v>
      </c>
      <c r="E56" s="33">
        <v>2.333333333333333</v>
      </c>
      <c r="F56" s="6">
        <v>46.75</v>
      </c>
    </row>
    <row r="57" spans="1:6" x14ac:dyDescent="0.3">
      <c r="A57" s="48"/>
      <c r="B57">
        <v>9</v>
      </c>
      <c r="C57" s="33">
        <v>8.6666666666666661</v>
      </c>
      <c r="D57">
        <v>8</v>
      </c>
      <c r="E57" s="33">
        <v>0</v>
      </c>
      <c r="F57" s="6">
        <v>17.5</v>
      </c>
    </row>
    <row r="58" spans="1:6" x14ac:dyDescent="0.3">
      <c r="A58" s="48"/>
      <c r="B58">
        <v>10</v>
      </c>
      <c r="C58" s="33">
        <v>9</v>
      </c>
      <c r="D58">
        <v>9</v>
      </c>
      <c r="E58" s="33">
        <v>0</v>
      </c>
      <c r="F58" s="6">
        <v>29</v>
      </c>
    </row>
    <row r="59" spans="1:6" x14ac:dyDescent="0.3">
      <c r="A59" s="48"/>
      <c r="B59">
        <v>11</v>
      </c>
      <c r="C59" s="33">
        <v>7</v>
      </c>
      <c r="D59">
        <v>9</v>
      </c>
      <c r="E59" s="33">
        <v>1.7777777777777779</v>
      </c>
      <c r="F59" s="6">
        <v>37.75</v>
      </c>
    </row>
    <row r="60" spans="1:6" x14ac:dyDescent="0.3">
      <c r="A60" s="48"/>
      <c r="B60">
        <v>12</v>
      </c>
      <c r="C60" s="33">
        <v>8</v>
      </c>
      <c r="D60">
        <v>9</v>
      </c>
      <c r="E60" s="33">
        <v>1</v>
      </c>
      <c r="F60" s="6">
        <v>9.25</v>
      </c>
    </row>
    <row r="61" spans="1:6" x14ac:dyDescent="0.3">
      <c r="A61" s="48"/>
      <c r="B61">
        <v>13</v>
      </c>
      <c r="C61" s="33">
        <v>8</v>
      </c>
      <c r="D61">
        <v>9</v>
      </c>
      <c r="E61" s="33">
        <v>1.083333333333333</v>
      </c>
      <c r="F61" s="6">
        <v>26.5</v>
      </c>
    </row>
    <row r="62" spans="1:6" x14ac:dyDescent="0.3">
      <c r="A62" s="48"/>
      <c r="B62">
        <v>14</v>
      </c>
      <c r="C62" s="33">
        <v>9.1666666666666661</v>
      </c>
      <c r="D62">
        <v>9</v>
      </c>
      <c r="E62" s="33">
        <v>1</v>
      </c>
      <c r="F62" s="6">
        <v>6.5</v>
      </c>
    </row>
    <row r="63" spans="1:6" x14ac:dyDescent="0.3">
      <c r="A63" s="49"/>
      <c r="B63" s="7">
        <v>15</v>
      </c>
      <c r="C63" s="34">
        <v>7.833333333333333</v>
      </c>
      <c r="D63" s="7">
        <v>8</v>
      </c>
      <c r="E63" s="34">
        <v>0</v>
      </c>
      <c r="F63" s="8">
        <v>7</v>
      </c>
    </row>
    <row r="64" spans="1:6" x14ac:dyDescent="0.3">
      <c r="A64" s="47" t="s">
        <v>11</v>
      </c>
      <c r="B64" s="4">
        <v>1</v>
      </c>
      <c r="C64" s="32">
        <v>5.333333333333333</v>
      </c>
      <c r="D64" s="4">
        <v>7</v>
      </c>
      <c r="E64" s="32">
        <v>7.4656944444444449</v>
      </c>
      <c r="F64" s="5">
        <v>596.82000000000005</v>
      </c>
    </row>
    <row r="65" spans="1:6" x14ac:dyDescent="0.3">
      <c r="A65" s="48"/>
      <c r="B65">
        <v>2</v>
      </c>
      <c r="C65" s="33">
        <v>4.333333333333333</v>
      </c>
      <c r="D65">
        <v>8</v>
      </c>
      <c r="E65" s="33">
        <v>15.560487804878051</v>
      </c>
      <c r="F65" s="6">
        <v>683.55000000000007</v>
      </c>
    </row>
    <row r="66" spans="1:6" x14ac:dyDescent="0.3">
      <c r="A66" s="48"/>
      <c r="B66">
        <v>3</v>
      </c>
      <c r="C66" s="33">
        <v>8</v>
      </c>
      <c r="D66">
        <v>8</v>
      </c>
      <c r="E66" s="33">
        <v>8.275555555555556</v>
      </c>
      <c r="F66" s="6">
        <v>514.01</v>
      </c>
    </row>
    <row r="67" spans="1:6" x14ac:dyDescent="0.3">
      <c r="A67" s="48"/>
      <c r="B67">
        <v>4</v>
      </c>
      <c r="C67" s="33">
        <v>4.666666666666667</v>
      </c>
      <c r="D67">
        <v>8</v>
      </c>
      <c r="E67" s="33">
        <v>12.26195121951219</v>
      </c>
      <c r="F67" s="6">
        <v>551.25</v>
      </c>
    </row>
    <row r="68" spans="1:6" x14ac:dyDescent="0.3">
      <c r="A68" s="49"/>
      <c r="B68" s="7">
        <v>5</v>
      </c>
      <c r="C68" s="34">
        <v>6.166666666666667</v>
      </c>
      <c r="D68" s="7">
        <v>9</v>
      </c>
      <c r="E68" s="34">
        <v>6.5141176470588231</v>
      </c>
      <c r="F68" s="8">
        <v>262.64</v>
      </c>
    </row>
    <row r="69" spans="1:6" x14ac:dyDescent="0.3">
      <c r="A69" s="47" t="s">
        <v>12</v>
      </c>
      <c r="B69" s="4">
        <v>1</v>
      </c>
      <c r="C69" s="32">
        <v>7.666666666666667</v>
      </c>
      <c r="D69" s="4">
        <v>9</v>
      </c>
      <c r="E69" s="32">
        <v>5.7007317073170736</v>
      </c>
      <c r="F69" s="5">
        <v>287.63</v>
      </c>
    </row>
    <row r="70" spans="1:6" x14ac:dyDescent="0.3">
      <c r="A70" s="48"/>
      <c r="B70">
        <v>2</v>
      </c>
      <c r="C70" s="33">
        <v>6.666666666666667</v>
      </c>
      <c r="D70">
        <v>9</v>
      </c>
      <c r="E70" s="33">
        <v>2.2795652173913039</v>
      </c>
      <c r="F70" s="6">
        <v>182.28</v>
      </c>
    </row>
    <row r="71" spans="1:6" x14ac:dyDescent="0.3">
      <c r="A71" s="48"/>
      <c r="B71">
        <v>3</v>
      </c>
      <c r="C71" s="33">
        <v>6</v>
      </c>
      <c r="D71">
        <v>7</v>
      </c>
      <c r="E71" s="33">
        <v>11.99930232558139</v>
      </c>
      <c r="F71" s="6">
        <v>569.87</v>
      </c>
    </row>
    <row r="72" spans="1:6" x14ac:dyDescent="0.3">
      <c r="A72" s="48"/>
      <c r="B72">
        <v>4</v>
      </c>
      <c r="C72" s="33">
        <v>6.666666666666667</v>
      </c>
      <c r="D72">
        <v>7</v>
      </c>
      <c r="E72" s="33">
        <v>8.2546153846153842</v>
      </c>
      <c r="F72" s="6">
        <v>126.91</v>
      </c>
    </row>
    <row r="73" spans="1:6" x14ac:dyDescent="0.3">
      <c r="A73" s="48"/>
      <c r="B73">
        <v>5</v>
      </c>
      <c r="C73" s="33">
        <v>8</v>
      </c>
      <c r="D73">
        <v>9</v>
      </c>
      <c r="E73" s="33">
        <v>3.076111111111111</v>
      </c>
      <c r="F73" s="6">
        <v>181.3</v>
      </c>
    </row>
    <row r="74" spans="1:6" x14ac:dyDescent="0.3">
      <c r="A74" s="48"/>
      <c r="B74">
        <v>6</v>
      </c>
      <c r="C74" s="33">
        <v>7.333333333333333</v>
      </c>
      <c r="D74">
        <v>9</v>
      </c>
      <c r="E74" s="33">
        <v>4.9593939393939399</v>
      </c>
      <c r="F74" s="6">
        <v>220.01</v>
      </c>
    </row>
    <row r="75" spans="1:6" x14ac:dyDescent="0.3">
      <c r="A75" s="48"/>
      <c r="B75">
        <v>7</v>
      </c>
      <c r="C75" s="33">
        <v>7.5</v>
      </c>
      <c r="D75">
        <v>8</v>
      </c>
      <c r="E75" s="33">
        <v>7.2855263157894736</v>
      </c>
      <c r="F75" s="6">
        <v>331.24</v>
      </c>
    </row>
    <row r="76" spans="1:6" x14ac:dyDescent="0.3">
      <c r="A76" s="48"/>
      <c r="B76">
        <v>8</v>
      </c>
      <c r="C76" s="33">
        <v>7.333333333333333</v>
      </c>
      <c r="D76">
        <v>8</v>
      </c>
      <c r="E76" s="33">
        <v>5.6243478260869564</v>
      </c>
      <c r="F76" s="6">
        <v>332.71</v>
      </c>
    </row>
    <row r="77" spans="1:6" x14ac:dyDescent="0.3">
      <c r="A77" s="48"/>
      <c r="B77">
        <v>9</v>
      </c>
      <c r="C77" s="33">
        <v>5.166666666666667</v>
      </c>
      <c r="D77">
        <v>9</v>
      </c>
      <c r="E77" s="33">
        <v>6.5141176470588231</v>
      </c>
      <c r="F77" s="6">
        <v>262.64</v>
      </c>
    </row>
    <row r="78" spans="1:6" x14ac:dyDescent="0.3">
      <c r="A78" s="49"/>
      <c r="B78" s="7">
        <v>10</v>
      </c>
      <c r="C78" s="34">
        <v>7</v>
      </c>
      <c r="D78" s="7">
        <v>8</v>
      </c>
      <c r="E78" s="34">
        <v>5.0361111111111114</v>
      </c>
      <c r="F78" s="8">
        <v>113.68</v>
      </c>
    </row>
    <row r="79" spans="1:6" x14ac:dyDescent="0.3">
      <c r="A79" s="47" t="s">
        <v>13</v>
      </c>
      <c r="B79" s="4">
        <v>1</v>
      </c>
      <c r="C79" s="32">
        <v>8.1666666666666661</v>
      </c>
      <c r="D79" s="4">
        <v>9</v>
      </c>
      <c r="E79" s="32">
        <v>5.7007317073170736</v>
      </c>
      <c r="F79" s="5">
        <v>287.63</v>
      </c>
    </row>
    <row r="80" spans="1:6" x14ac:dyDescent="0.3">
      <c r="A80" s="48"/>
      <c r="B80">
        <v>2</v>
      </c>
      <c r="C80" s="33">
        <v>6.833333333333333</v>
      </c>
      <c r="D80">
        <v>9</v>
      </c>
      <c r="E80" s="33">
        <v>2.2795652173913039</v>
      </c>
      <c r="F80" s="6">
        <v>182.28</v>
      </c>
    </row>
    <row r="81" spans="1:6" x14ac:dyDescent="0.3">
      <c r="A81" s="48"/>
      <c r="B81">
        <v>3</v>
      </c>
      <c r="C81" s="33">
        <v>6.833333333333333</v>
      </c>
      <c r="D81">
        <v>8</v>
      </c>
      <c r="E81" s="33">
        <v>2.5336585365853659</v>
      </c>
      <c r="F81" s="6">
        <v>177.87</v>
      </c>
    </row>
    <row r="82" spans="1:6" x14ac:dyDescent="0.3">
      <c r="A82" s="48"/>
      <c r="B82">
        <v>4</v>
      </c>
      <c r="C82" s="33">
        <v>6.166666666666667</v>
      </c>
      <c r="D82">
        <v>9</v>
      </c>
      <c r="E82" s="33">
        <v>6.6372727272727277</v>
      </c>
      <c r="F82" s="6">
        <v>94.570000000000007</v>
      </c>
    </row>
    <row r="83" spans="1:6" x14ac:dyDescent="0.3">
      <c r="A83" s="48"/>
      <c r="B83">
        <v>5</v>
      </c>
      <c r="C83" s="33">
        <v>6</v>
      </c>
      <c r="D83">
        <v>9</v>
      </c>
      <c r="E83" s="33">
        <v>2.87</v>
      </c>
      <c r="F83" s="6">
        <v>32.340000000000003</v>
      </c>
    </row>
    <row r="84" spans="1:6" x14ac:dyDescent="0.3">
      <c r="A84" s="48"/>
      <c r="B84">
        <v>6</v>
      </c>
      <c r="C84" s="33">
        <v>7.5</v>
      </c>
      <c r="D84">
        <v>9</v>
      </c>
      <c r="E84" s="33">
        <v>3.076111111111111</v>
      </c>
      <c r="F84" s="6">
        <v>181.3</v>
      </c>
    </row>
    <row r="85" spans="1:6" x14ac:dyDescent="0.3">
      <c r="A85" s="48"/>
      <c r="B85">
        <v>7</v>
      </c>
      <c r="C85" s="33">
        <v>5.666666666666667</v>
      </c>
      <c r="D85">
        <v>9</v>
      </c>
      <c r="E85" s="33">
        <v>4.9593939393939399</v>
      </c>
      <c r="F85" s="6">
        <v>220.01</v>
      </c>
    </row>
    <row r="86" spans="1:6" x14ac:dyDescent="0.3">
      <c r="A86" s="48"/>
      <c r="B86">
        <v>8</v>
      </c>
      <c r="C86" s="33">
        <v>7.166666666666667</v>
      </c>
      <c r="D86">
        <v>9</v>
      </c>
      <c r="E86" s="33">
        <v>4.4458536585365858</v>
      </c>
      <c r="F86" s="6">
        <v>249.9</v>
      </c>
    </row>
    <row r="87" spans="1:6" x14ac:dyDescent="0.3">
      <c r="A87" s="48"/>
      <c r="B87">
        <v>9</v>
      </c>
      <c r="C87" s="33">
        <v>8</v>
      </c>
      <c r="D87">
        <v>8</v>
      </c>
      <c r="E87" s="33">
        <v>6.6150000000000002</v>
      </c>
      <c r="F87" s="6">
        <v>196.98</v>
      </c>
    </row>
    <row r="88" spans="1:6" x14ac:dyDescent="0.3">
      <c r="A88" s="48"/>
      <c r="B88">
        <v>10</v>
      </c>
      <c r="C88" s="33">
        <v>5.666666666666667</v>
      </c>
      <c r="D88">
        <v>7</v>
      </c>
      <c r="E88" s="33">
        <v>5.9315789473684211</v>
      </c>
      <c r="F88" s="6">
        <v>157.29</v>
      </c>
    </row>
    <row r="89" spans="1:6" x14ac:dyDescent="0.3">
      <c r="A89" s="48"/>
      <c r="B89">
        <v>11</v>
      </c>
      <c r="C89" s="33">
        <v>6.666666666666667</v>
      </c>
      <c r="D89">
        <v>8</v>
      </c>
      <c r="E89" s="33">
        <v>3.8347826086956518</v>
      </c>
      <c r="F89" s="6">
        <v>234.71</v>
      </c>
    </row>
    <row r="90" spans="1:6" x14ac:dyDescent="0.3">
      <c r="A90" s="48"/>
      <c r="B90">
        <v>12</v>
      </c>
      <c r="C90" s="33">
        <v>3.6666666666666665</v>
      </c>
      <c r="D90">
        <v>10</v>
      </c>
      <c r="E90" s="33">
        <v>6.5141176470588231</v>
      </c>
      <c r="F90" s="6">
        <v>262.64</v>
      </c>
    </row>
    <row r="91" spans="1:6" x14ac:dyDescent="0.3">
      <c r="A91" s="48"/>
      <c r="B91">
        <v>13</v>
      </c>
      <c r="C91" s="33">
        <v>8.8333333333333339</v>
      </c>
      <c r="D91">
        <v>8</v>
      </c>
      <c r="E91" s="33">
        <v>2.3369230769230769</v>
      </c>
      <c r="F91" s="6">
        <v>135.72999999999999</v>
      </c>
    </row>
    <row r="92" spans="1:6" x14ac:dyDescent="0.3">
      <c r="A92" s="48"/>
      <c r="B92">
        <v>14</v>
      </c>
      <c r="C92" s="33">
        <v>7</v>
      </c>
      <c r="D92">
        <v>8</v>
      </c>
      <c r="E92" s="33">
        <v>5.0361111111111114</v>
      </c>
      <c r="F92" s="6">
        <v>113.68</v>
      </c>
    </row>
    <row r="93" spans="1:6" x14ac:dyDescent="0.3">
      <c r="A93" s="49"/>
      <c r="B93" s="7">
        <v>15</v>
      </c>
      <c r="C93" s="34">
        <v>7.333333333333333</v>
      </c>
      <c r="D93" s="7">
        <v>8</v>
      </c>
      <c r="E93" s="34">
        <v>2.6459999999999999</v>
      </c>
      <c r="F93" s="8">
        <v>81.34</v>
      </c>
    </row>
    <row r="94" spans="1:6" x14ac:dyDescent="0.3">
      <c r="A94" s="47" t="s">
        <v>16</v>
      </c>
      <c r="B94" s="4">
        <v>1</v>
      </c>
      <c r="C94" s="32">
        <v>3.1666666666666665</v>
      </c>
      <c r="D94" s="4">
        <v>8</v>
      </c>
      <c r="E94" s="32">
        <v>21.932400000000001</v>
      </c>
      <c r="F94" s="5">
        <v>1134.3499999999999</v>
      </c>
    </row>
    <row r="95" spans="1:6" x14ac:dyDescent="0.3">
      <c r="A95" s="48"/>
      <c r="B95">
        <v>2</v>
      </c>
      <c r="C95" s="33">
        <v>4.5</v>
      </c>
      <c r="D95">
        <v>8</v>
      </c>
      <c r="E95" s="33">
        <v>13.739599999999999</v>
      </c>
      <c r="F95" s="6">
        <v>734.51</v>
      </c>
    </row>
    <row r="96" spans="1:6" x14ac:dyDescent="0.3">
      <c r="A96" s="48"/>
      <c r="B96">
        <v>3</v>
      </c>
      <c r="C96" s="33">
        <v>5.333333333333333</v>
      </c>
      <c r="D96">
        <v>8</v>
      </c>
      <c r="E96" s="33">
        <v>6.8180000000000014</v>
      </c>
      <c r="F96" s="6">
        <v>286.16000000000003</v>
      </c>
    </row>
    <row r="97" spans="1:6" x14ac:dyDescent="0.3">
      <c r="A97" s="48"/>
      <c r="B97">
        <v>4</v>
      </c>
      <c r="C97" s="33">
        <v>2</v>
      </c>
      <c r="D97">
        <v>9</v>
      </c>
      <c r="E97" s="33">
        <v>8.5861363636363635</v>
      </c>
      <c r="F97" s="6">
        <v>441.98</v>
      </c>
    </row>
    <row r="98" spans="1:6" x14ac:dyDescent="0.3">
      <c r="A98" s="49"/>
      <c r="B98" s="7">
        <v>5</v>
      </c>
      <c r="C98" s="34">
        <v>5.166666666666667</v>
      </c>
      <c r="D98" s="7">
        <v>6</v>
      </c>
      <c r="E98" s="34">
        <v>2.94</v>
      </c>
      <c r="F98" s="8">
        <v>11.27</v>
      </c>
    </row>
    <row r="99" spans="1:6" x14ac:dyDescent="0.3">
      <c r="A99" s="47" t="s">
        <v>17</v>
      </c>
      <c r="B99" s="4">
        <v>1</v>
      </c>
      <c r="C99" s="32">
        <v>5</v>
      </c>
      <c r="D99" s="4">
        <v>9</v>
      </c>
      <c r="E99" s="32">
        <v>13.99034482758621</v>
      </c>
      <c r="F99" s="5">
        <v>862.89</v>
      </c>
    </row>
    <row r="100" spans="1:6" x14ac:dyDescent="0.3">
      <c r="A100" s="48"/>
      <c r="B100">
        <v>2</v>
      </c>
      <c r="C100" s="33">
        <v>6.333333333333333</v>
      </c>
      <c r="D100">
        <v>8</v>
      </c>
      <c r="E100" s="33">
        <v>13.739599999999999</v>
      </c>
      <c r="F100" s="6">
        <v>734.51</v>
      </c>
    </row>
    <row r="101" spans="1:6" x14ac:dyDescent="0.3">
      <c r="A101" s="48"/>
      <c r="B101">
        <v>3</v>
      </c>
      <c r="C101" s="33">
        <v>5.5</v>
      </c>
      <c r="D101">
        <v>8</v>
      </c>
      <c r="E101" s="33">
        <v>6.8180000000000014</v>
      </c>
      <c r="F101" s="6">
        <v>286.16000000000003</v>
      </c>
    </row>
    <row r="102" spans="1:6" x14ac:dyDescent="0.3">
      <c r="A102" s="48"/>
      <c r="B102">
        <v>4</v>
      </c>
      <c r="C102" s="33">
        <v>3</v>
      </c>
      <c r="D102">
        <v>7</v>
      </c>
      <c r="E102" s="33">
        <v>5.5420689655172417</v>
      </c>
      <c r="F102" s="6">
        <v>207.76</v>
      </c>
    </row>
    <row r="103" spans="1:6" x14ac:dyDescent="0.3">
      <c r="A103" s="48"/>
      <c r="B103">
        <v>5</v>
      </c>
      <c r="C103" s="33">
        <v>6.333333333333333</v>
      </c>
      <c r="D103">
        <v>8</v>
      </c>
      <c r="E103" s="33">
        <v>4.2552631578947366</v>
      </c>
      <c r="F103" s="6">
        <v>116.62</v>
      </c>
    </row>
    <row r="104" spans="1:6" x14ac:dyDescent="0.3">
      <c r="A104" s="48"/>
      <c r="B104">
        <v>6</v>
      </c>
      <c r="C104" s="33">
        <v>4.5</v>
      </c>
      <c r="D104">
        <v>9</v>
      </c>
      <c r="E104" s="33">
        <v>6.4956410256410262</v>
      </c>
      <c r="F104" s="6">
        <v>302.82</v>
      </c>
    </row>
    <row r="105" spans="1:6" x14ac:dyDescent="0.3">
      <c r="A105" s="48"/>
      <c r="B105">
        <v>7</v>
      </c>
      <c r="C105" s="33">
        <v>6.666666666666667</v>
      </c>
      <c r="D105">
        <v>8</v>
      </c>
      <c r="E105" s="33">
        <v>3.99</v>
      </c>
      <c r="F105" s="6">
        <v>38.22</v>
      </c>
    </row>
    <row r="106" spans="1:6" x14ac:dyDescent="0.3">
      <c r="A106" s="48"/>
      <c r="B106">
        <v>8</v>
      </c>
      <c r="C106" s="33">
        <v>6.333333333333333</v>
      </c>
      <c r="D106">
        <v>9</v>
      </c>
      <c r="E106" s="33">
        <v>2.38</v>
      </c>
      <c r="F106" s="6">
        <v>25.48</v>
      </c>
    </row>
    <row r="107" spans="1:6" x14ac:dyDescent="0.3">
      <c r="A107" s="48"/>
      <c r="B107">
        <v>9</v>
      </c>
      <c r="C107" s="33">
        <v>5</v>
      </c>
      <c r="D107">
        <v>9</v>
      </c>
      <c r="E107" s="33">
        <v>2.4500000000000002</v>
      </c>
      <c r="F107" s="6">
        <v>22.54</v>
      </c>
    </row>
    <row r="108" spans="1:6" x14ac:dyDescent="0.3">
      <c r="A108" s="49"/>
      <c r="B108" s="7">
        <v>10</v>
      </c>
      <c r="C108" s="34">
        <v>5.833333333333333</v>
      </c>
      <c r="D108" s="7">
        <v>7</v>
      </c>
      <c r="E108" s="34">
        <v>2.94</v>
      </c>
      <c r="F108" s="8">
        <v>11.27</v>
      </c>
    </row>
    <row r="109" spans="1:6" x14ac:dyDescent="0.3">
      <c r="A109" s="47" t="s">
        <v>18</v>
      </c>
      <c r="B109" s="4">
        <v>1</v>
      </c>
      <c r="C109" s="32">
        <v>5.333333333333333</v>
      </c>
      <c r="D109" s="4">
        <v>8</v>
      </c>
      <c r="E109" s="32">
        <v>13.99034482758621</v>
      </c>
      <c r="F109" s="5">
        <v>862.89</v>
      </c>
    </row>
    <row r="110" spans="1:6" x14ac:dyDescent="0.3">
      <c r="A110" s="48"/>
      <c r="B110">
        <v>2</v>
      </c>
      <c r="C110" s="33">
        <v>5.333333333333333</v>
      </c>
      <c r="D110">
        <v>8</v>
      </c>
      <c r="E110" s="33">
        <v>13.72</v>
      </c>
      <c r="F110" s="6">
        <v>733.53</v>
      </c>
    </row>
    <row r="111" spans="1:6" x14ac:dyDescent="0.3">
      <c r="A111" s="48"/>
      <c r="B111">
        <v>3</v>
      </c>
      <c r="C111" s="33">
        <v>6.166666666666667</v>
      </c>
      <c r="D111">
        <v>9</v>
      </c>
      <c r="E111" s="33">
        <v>3.740333333333334</v>
      </c>
      <c r="F111" s="6">
        <v>164.64</v>
      </c>
    </row>
    <row r="112" spans="1:6" x14ac:dyDescent="0.3">
      <c r="A112" s="48"/>
      <c r="B112">
        <v>4</v>
      </c>
      <c r="C112" s="33">
        <v>8.5</v>
      </c>
      <c r="D112">
        <v>9</v>
      </c>
      <c r="E112" s="33">
        <v>2.94</v>
      </c>
      <c r="F112" s="6">
        <v>13.72</v>
      </c>
    </row>
    <row r="113" spans="1:6" x14ac:dyDescent="0.3">
      <c r="A113" s="48"/>
      <c r="B113">
        <v>5</v>
      </c>
      <c r="C113" s="33">
        <v>8.8333333333333339</v>
      </c>
      <c r="D113">
        <v>9</v>
      </c>
      <c r="E113" s="33">
        <v>3.6341666666666672</v>
      </c>
      <c r="F113" s="6">
        <v>105.84</v>
      </c>
    </row>
    <row r="114" spans="1:6" x14ac:dyDescent="0.3">
      <c r="A114" s="48"/>
      <c r="B114">
        <v>6</v>
      </c>
      <c r="C114" s="33">
        <v>8.8333333333333339</v>
      </c>
      <c r="D114">
        <v>9</v>
      </c>
      <c r="E114" s="33">
        <v>4.2552631578947366</v>
      </c>
      <c r="F114" s="6">
        <v>116.62</v>
      </c>
    </row>
    <row r="115" spans="1:6" x14ac:dyDescent="0.3">
      <c r="A115" s="48"/>
      <c r="B115">
        <v>7</v>
      </c>
      <c r="C115" s="33">
        <v>6</v>
      </c>
      <c r="D115">
        <v>9</v>
      </c>
      <c r="E115" s="33">
        <v>6.4956410256410262</v>
      </c>
      <c r="F115" s="6">
        <v>302.82</v>
      </c>
    </row>
    <row r="116" spans="1:6" x14ac:dyDescent="0.3">
      <c r="A116" s="48"/>
      <c r="B116">
        <v>8</v>
      </c>
      <c r="C116" s="33">
        <v>8.1666666666666661</v>
      </c>
      <c r="D116">
        <v>9</v>
      </c>
      <c r="E116" s="33">
        <v>3.3755555555555561</v>
      </c>
      <c r="F116" s="6">
        <v>46.55</v>
      </c>
    </row>
    <row r="117" spans="1:6" x14ac:dyDescent="0.3">
      <c r="A117" s="48"/>
      <c r="B117">
        <v>9</v>
      </c>
      <c r="C117" s="33">
        <v>7.333333333333333</v>
      </c>
      <c r="D117">
        <v>9</v>
      </c>
      <c r="E117" s="33">
        <v>2.7766666666666668</v>
      </c>
      <c r="F117" s="6">
        <v>88.2</v>
      </c>
    </row>
    <row r="118" spans="1:6" x14ac:dyDescent="0.3">
      <c r="A118" s="48"/>
      <c r="B118">
        <v>10</v>
      </c>
      <c r="C118" s="33">
        <v>7.333333333333333</v>
      </c>
      <c r="D118">
        <v>8</v>
      </c>
      <c r="E118" s="33">
        <v>2.8</v>
      </c>
      <c r="F118" s="6">
        <v>74.97</v>
      </c>
    </row>
    <row r="119" spans="1:6" x14ac:dyDescent="0.3">
      <c r="A119" s="48"/>
      <c r="B119">
        <v>11</v>
      </c>
      <c r="C119" s="33">
        <v>8.3333333333333339</v>
      </c>
      <c r="D119">
        <v>9</v>
      </c>
      <c r="E119" s="33">
        <v>3.99</v>
      </c>
      <c r="F119" s="6">
        <v>38.22</v>
      </c>
    </row>
    <row r="120" spans="1:6" x14ac:dyDescent="0.3">
      <c r="A120" s="48"/>
      <c r="B120">
        <v>12</v>
      </c>
      <c r="C120" s="33">
        <v>6.333333333333333</v>
      </c>
      <c r="D120">
        <v>9</v>
      </c>
      <c r="E120" s="33">
        <v>2.38</v>
      </c>
      <c r="F120" s="6">
        <v>25.48</v>
      </c>
    </row>
    <row r="121" spans="1:6" x14ac:dyDescent="0.3">
      <c r="A121" s="48"/>
      <c r="B121">
        <v>13</v>
      </c>
      <c r="C121" s="33">
        <v>6.666666666666667</v>
      </c>
      <c r="D121">
        <v>9</v>
      </c>
      <c r="E121" s="33">
        <v>2.4500000000000002</v>
      </c>
      <c r="F121" s="6">
        <v>22.54</v>
      </c>
    </row>
    <row r="122" spans="1:6" x14ac:dyDescent="0.3">
      <c r="A122" s="48"/>
      <c r="B122">
        <v>14</v>
      </c>
      <c r="C122" s="33">
        <v>7.666666666666667</v>
      </c>
      <c r="D122">
        <v>8</v>
      </c>
      <c r="E122" s="33">
        <v>2.94</v>
      </c>
      <c r="F122" s="6">
        <v>11.27</v>
      </c>
    </row>
    <row r="123" spans="1:6" x14ac:dyDescent="0.3">
      <c r="A123" s="49"/>
      <c r="B123" s="7">
        <v>15</v>
      </c>
      <c r="C123" s="34">
        <v>9.1666666666666661</v>
      </c>
      <c r="D123" s="7">
        <v>7</v>
      </c>
      <c r="E123" s="34">
        <v>0</v>
      </c>
      <c r="F123" s="8">
        <v>0.98</v>
      </c>
    </row>
    <row r="124" spans="1:6" x14ac:dyDescent="0.3">
      <c r="A124" s="47" t="s">
        <v>19</v>
      </c>
      <c r="B124" s="4">
        <v>1</v>
      </c>
      <c r="C124" s="32">
        <v>3.5</v>
      </c>
      <c r="D124" s="4">
        <v>7</v>
      </c>
      <c r="E124" s="32">
        <v>6.3125</v>
      </c>
      <c r="F124" s="5">
        <v>404</v>
      </c>
    </row>
    <row r="125" spans="1:6" x14ac:dyDescent="0.3">
      <c r="A125" s="48"/>
      <c r="B125">
        <v>2</v>
      </c>
      <c r="C125" s="33">
        <v>4.666666666666667</v>
      </c>
      <c r="D125">
        <v>8</v>
      </c>
      <c r="E125" s="33">
        <v>18.47058823529412</v>
      </c>
      <c r="F125" s="6">
        <v>942</v>
      </c>
    </row>
    <row r="126" spans="1:6" x14ac:dyDescent="0.3">
      <c r="A126" s="48"/>
      <c r="B126">
        <v>3</v>
      </c>
      <c r="C126" s="33">
        <v>4.166666666666667</v>
      </c>
      <c r="D126">
        <v>8</v>
      </c>
      <c r="E126" s="33">
        <v>7.1875</v>
      </c>
      <c r="F126" s="6">
        <v>460</v>
      </c>
    </row>
    <row r="127" spans="1:6" x14ac:dyDescent="0.3">
      <c r="A127" s="48"/>
      <c r="B127">
        <v>4</v>
      </c>
      <c r="C127" s="33">
        <v>4.333333333333333</v>
      </c>
      <c r="D127">
        <v>9</v>
      </c>
      <c r="E127" s="33">
        <v>4.7317073170731696</v>
      </c>
      <c r="F127" s="6">
        <v>194</v>
      </c>
    </row>
    <row r="128" spans="1:6" x14ac:dyDescent="0.3">
      <c r="A128" s="49"/>
      <c r="B128" s="7">
        <v>5</v>
      </c>
      <c r="C128" s="34">
        <v>4.333333333333333</v>
      </c>
      <c r="D128" s="7">
        <v>8</v>
      </c>
      <c r="E128" s="34">
        <v>11.595744680851061</v>
      </c>
      <c r="F128" s="8">
        <v>545</v>
      </c>
    </row>
    <row r="129" spans="1:6" x14ac:dyDescent="0.3">
      <c r="A129" s="47" t="s">
        <v>20</v>
      </c>
      <c r="B129" s="4">
        <v>1</v>
      </c>
      <c r="C129" s="32">
        <v>7.666666666666667</v>
      </c>
      <c r="D129" s="4">
        <v>9</v>
      </c>
      <c r="E129" s="32">
        <v>4.4615384615384617</v>
      </c>
      <c r="F129" s="5">
        <v>232</v>
      </c>
    </row>
    <row r="130" spans="1:6" x14ac:dyDescent="0.3">
      <c r="A130" s="48"/>
      <c r="B130">
        <v>2</v>
      </c>
      <c r="C130" s="33">
        <v>6.666666666666667</v>
      </c>
      <c r="D130">
        <v>9</v>
      </c>
      <c r="E130" s="33">
        <v>3.752688172043011</v>
      </c>
      <c r="F130" s="6">
        <v>349</v>
      </c>
    </row>
    <row r="131" spans="1:6" x14ac:dyDescent="0.3">
      <c r="A131" s="48"/>
      <c r="B131">
        <v>3</v>
      </c>
      <c r="C131" s="33">
        <v>5.333333333333333</v>
      </c>
      <c r="D131">
        <v>8</v>
      </c>
      <c r="E131" s="33">
        <v>5.4</v>
      </c>
      <c r="F131" s="6">
        <v>432</v>
      </c>
    </row>
    <row r="132" spans="1:6" x14ac:dyDescent="0.3">
      <c r="A132" s="48"/>
      <c r="B132">
        <v>4</v>
      </c>
      <c r="C132" s="33">
        <v>5.166666666666667</v>
      </c>
      <c r="D132">
        <v>8</v>
      </c>
      <c r="E132" s="33">
        <v>8.6</v>
      </c>
      <c r="F132" s="6">
        <v>172</v>
      </c>
    </row>
    <row r="133" spans="1:6" x14ac:dyDescent="0.3">
      <c r="A133" s="48"/>
      <c r="B133">
        <v>5</v>
      </c>
      <c r="C133" s="33">
        <v>8.3333333333333339</v>
      </c>
      <c r="D133">
        <v>9</v>
      </c>
      <c r="E133" s="33">
        <v>3.720930232558139</v>
      </c>
      <c r="F133" s="6">
        <v>160</v>
      </c>
    </row>
    <row r="134" spans="1:6" x14ac:dyDescent="0.3">
      <c r="A134" s="48"/>
      <c r="B134">
        <v>6</v>
      </c>
      <c r="C134" s="33">
        <v>5.833333333333333</v>
      </c>
      <c r="D134">
        <v>8</v>
      </c>
      <c r="E134" s="33">
        <v>4.615384615384615</v>
      </c>
      <c r="F134" s="6">
        <v>300</v>
      </c>
    </row>
    <row r="135" spans="1:6" x14ac:dyDescent="0.3">
      <c r="A135" s="48"/>
      <c r="B135">
        <v>7</v>
      </c>
      <c r="C135" s="33">
        <v>7.833333333333333</v>
      </c>
      <c r="D135">
        <v>8</v>
      </c>
      <c r="E135" s="33">
        <v>2.2999999999999998</v>
      </c>
      <c r="F135" s="6">
        <v>161</v>
      </c>
    </row>
    <row r="136" spans="1:6" x14ac:dyDescent="0.3">
      <c r="A136" s="48"/>
      <c r="B136">
        <v>8</v>
      </c>
      <c r="C136" s="33">
        <v>5.333333333333333</v>
      </c>
      <c r="D136">
        <v>9</v>
      </c>
      <c r="E136" s="33">
        <v>4.7317073170731696</v>
      </c>
      <c r="F136" s="6">
        <v>194</v>
      </c>
    </row>
    <row r="137" spans="1:6" x14ac:dyDescent="0.3">
      <c r="A137" s="48"/>
      <c r="B137">
        <v>9</v>
      </c>
      <c r="C137" s="33">
        <v>6.166666666666667</v>
      </c>
      <c r="D137">
        <v>9</v>
      </c>
      <c r="E137" s="33">
        <v>7.5957446808510642</v>
      </c>
      <c r="F137" s="6">
        <v>357</v>
      </c>
    </row>
    <row r="138" spans="1:6" x14ac:dyDescent="0.3">
      <c r="A138" s="49"/>
      <c r="B138" s="7">
        <v>10</v>
      </c>
      <c r="C138" s="34">
        <v>5.833333333333333</v>
      </c>
      <c r="D138" s="7">
        <v>6</v>
      </c>
      <c r="E138" s="34">
        <v>4.9473684210526319</v>
      </c>
      <c r="F138" s="8">
        <v>188</v>
      </c>
    </row>
    <row r="139" spans="1:6" x14ac:dyDescent="0.3">
      <c r="A139" s="47" t="s">
        <v>21</v>
      </c>
      <c r="B139" s="4">
        <v>1</v>
      </c>
      <c r="C139" s="32">
        <v>8.6666666666666661</v>
      </c>
      <c r="D139" s="4">
        <v>9</v>
      </c>
      <c r="E139" s="32">
        <v>4.4615384615384617</v>
      </c>
      <c r="F139" s="5">
        <v>232</v>
      </c>
    </row>
    <row r="140" spans="1:6" x14ac:dyDescent="0.3">
      <c r="A140" s="48"/>
      <c r="B140">
        <v>2</v>
      </c>
      <c r="C140" s="33">
        <v>6.5</v>
      </c>
      <c r="D140">
        <v>9</v>
      </c>
      <c r="E140" s="33">
        <v>2.2727272727272729</v>
      </c>
      <c r="F140" s="6">
        <v>175</v>
      </c>
    </row>
    <row r="141" spans="1:6" x14ac:dyDescent="0.3">
      <c r="A141" s="48"/>
      <c r="B141">
        <v>3</v>
      </c>
      <c r="C141" s="33">
        <v>8.5</v>
      </c>
      <c r="D141">
        <v>8</v>
      </c>
      <c r="E141" s="33">
        <v>3.154929577464789</v>
      </c>
      <c r="F141" s="6">
        <v>224</v>
      </c>
    </row>
    <row r="142" spans="1:6" x14ac:dyDescent="0.3">
      <c r="A142" s="48"/>
      <c r="B142">
        <v>4</v>
      </c>
      <c r="C142" s="33">
        <v>5.833333333333333</v>
      </c>
      <c r="D142">
        <v>8</v>
      </c>
      <c r="E142" s="33">
        <v>3.75</v>
      </c>
      <c r="F142" s="6">
        <v>60</v>
      </c>
    </row>
    <row r="143" spans="1:6" x14ac:dyDescent="0.3">
      <c r="A143" s="48"/>
      <c r="B143">
        <v>5</v>
      </c>
      <c r="C143" s="33">
        <v>7.666666666666667</v>
      </c>
      <c r="D143">
        <v>8</v>
      </c>
      <c r="E143" s="33">
        <v>3.720930232558139</v>
      </c>
      <c r="F143" s="6">
        <v>160</v>
      </c>
    </row>
    <row r="144" spans="1:6" x14ac:dyDescent="0.3">
      <c r="A144" s="48"/>
      <c r="B144">
        <v>6</v>
      </c>
      <c r="C144" s="33">
        <v>4.833333333333333</v>
      </c>
      <c r="D144">
        <v>8</v>
      </c>
      <c r="E144" s="33">
        <v>5.0975609756097562</v>
      </c>
      <c r="F144" s="6">
        <v>209</v>
      </c>
    </row>
    <row r="145" spans="1:6" x14ac:dyDescent="0.3">
      <c r="A145" s="48"/>
      <c r="B145">
        <v>7</v>
      </c>
      <c r="C145" s="33">
        <v>7.333333333333333</v>
      </c>
      <c r="D145">
        <v>9</v>
      </c>
      <c r="E145" s="33">
        <v>2.1481481481481479</v>
      </c>
      <c r="F145" s="6">
        <v>174</v>
      </c>
    </row>
    <row r="146" spans="1:6" x14ac:dyDescent="0.3">
      <c r="A146" s="48"/>
      <c r="B146">
        <v>8</v>
      </c>
      <c r="C146" s="33">
        <v>6.5</v>
      </c>
      <c r="D146">
        <v>8</v>
      </c>
      <c r="E146" s="33">
        <v>2.2999999999999998</v>
      </c>
      <c r="F146" s="6">
        <v>161</v>
      </c>
    </row>
    <row r="147" spans="1:6" x14ac:dyDescent="0.3">
      <c r="A147" s="48"/>
      <c r="B147">
        <v>9</v>
      </c>
      <c r="C147" s="33">
        <v>5.5</v>
      </c>
      <c r="D147">
        <v>8</v>
      </c>
      <c r="E147" s="33">
        <v>2.536585365853659</v>
      </c>
      <c r="F147" s="6">
        <v>208</v>
      </c>
    </row>
    <row r="148" spans="1:6" x14ac:dyDescent="0.3">
      <c r="A148" s="48"/>
      <c r="B148">
        <v>10</v>
      </c>
      <c r="C148" s="33">
        <v>4</v>
      </c>
      <c r="D148">
        <v>10</v>
      </c>
      <c r="E148" s="33">
        <v>4.7317073170731696</v>
      </c>
      <c r="F148" s="6">
        <v>194</v>
      </c>
    </row>
    <row r="149" spans="1:6" x14ac:dyDescent="0.3">
      <c r="A149" s="48"/>
      <c r="B149">
        <v>11</v>
      </c>
      <c r="C149" s="33">
        <v>6.5</v>
      </c>
      <c r="D149">
        <v>8</v>
      </c>
      <c r="E149" s="33">
        <v>5.0384615384615383</v>
      </c>
      <c r="F149" s="6">
        <v>131</v>
      </c>
    </row>
    <row r="150" spans="1:6" x14ac:dyDescent="0.3">
      <c r="A150" s="48"/>
      <c r="B150">
        <v>12</v>
      </c>
      <c r="C150" s="33">
        <v>6</v>
      </c>
      <c r="D150">
        <v>8</v>
      </c>
      <c r="E150" s="33">
        <v>3.53125</v>
      </c>
      <c r="F150" s="6">
        <v>226</v>
      </c>
    </row>
    <row r="151" spans="1:6" x14ac:dyDescent="0.3">
      <c r="A151" s="48"/>
      <c r="B151">
        <v>13</v>
      </c>
      <c r="C151" s="33">
        <v>4.833333333333333</v>
      </c>
      <c r="D151">
        <v>7</v>
      </c>
      <c r="E151" s="33">
        <v>4.9473684210526319</v>
      </c>
      <c r="F151" s="6">
        <v>188</v>
      </c>
    </row>
    <row r="152" spans="1:6" x14ac:dyDescent="0.3">
      <c r="A152" s="48"/>
      <c r="B152">
        <v>14</v>
      </c>
      <c r="C152" s="33">
        <v>5.833333333333333</v>
      </c>
      <c r="D152">
        <v>7</v>
      </c>
      <c r="E152" s="33">
        <v>1.75</v>
      </c>
      <c r="F152" s="6">
        <v>91</v>
      </c>
    </row>
    <row r="153" spans="1:6" x14ac:dyDescent="0.3">
      <c r="A153" s="49"/>
      <c r="B153" s="7">
        <v>15</v>
      </c>
      <c r="C153" s="34">
        <v>7</v>
      </c>
      <c r="D153" s="7">
        <v>7</v>
      </c>
      <c r="E153" s="34">
        <v>5.333333333333333</v>
      </c>
      <c r="F153" s="8">
        <v>112</v>
      </c>
    </row>
    <row r="154" spans="1:6" x14ac:dyDescent="0.3">
      <c r="A154" s="47" t="s">
        <v>22</v>
      </c>
      <c r="B154" s="4">
        <v>1</v>
      </c>
      <c r="C154" s="32">
        <v>2.6666666666666665</v>
      </c>
      <c r="D154" s="4">
        <v>8</v>
      </c>
      <c r="E154" s="32">
        <v>10.02777777777778</v>
      </c>
      <c r="F154" s="5">
        <v>722</v>
      </c>
    </row>
    <row r="155" spans="1:6" x14ac:dyDescent="0.3">
      <c r="A155" s="48"/>
      <c r="B155">
        <v>2</v>
      </c>
      <c r="C155" s="33">
        <v>2.8333333333333335</v>
      </c>
      <c r="D155">
        <v>8</v>
      </c>
      <c r="E155" s="33">
        <v>55.6</v>
      </c>
      <c r="F155" s="6">
        <v>1390</v>
      </c>
    </row>
    <row r="156" spans="1:6" x14ac:dyDescent="0.3">
      <c r="A156" s="48"/>
      <c r="B156">
        <v>3</v>
      </c>
      <c r="C156" s="33">
        <v>5.666666666666667</v>
      </c>
      <c r="D156">
        <v>8</v>
      </c>
      <c r="E156" s="33">
        <v>4.0697674418604652</v>
      </c>
      <c r="F156" s="6">
        <v>175</v>
      </c>
    </row>
    <row r="157" spans="1:6" x14ac:dyDescent="0.3">
      <c r="A157" s="48"/>
      <c r="B157">
        <v>4</v>
      </c>
      <c r="C157" s="33">
        <v>4</v>
      </c>
      <c r="D157">
        <v>10</v>
      </c>
      <c r="E157" s="33">
        <v>4.8510638297872344</v>
      </c>
      <c r="F157" s="6">
        <v>228</v>
      </c>
    </row>
    <row r="158" spans="1:6" x14ac:dyDescent="0.3">
      <c r="A158" s="49"/>
      <c r="B158" s="7">
        <v>5</v>
      </c>
      <c r="C158" s="34">
        <v>5.666666666666667</v>
      </c>
      <c r="D158" s="7">
        <v>9</v>
      </c>
      <c r="E158" s="34">
        <v>2.307692307692307</v>
      </c>
      <c r="F158" s="8">
        <v>30</v>
      </c>
    </row>
    <row r="159" spans="1:6" x14ac:dyDescent="0.3">
      <c r="A159" s="47" t="s">
        <v>23</v>
      </c>
      <c r="B159" s="4">
        <v>1</v>
      </c>
      <c r="C159" s="32">
        <v>4.166666666666667</v>
      </c>
      <c r="D159" s="4">
        <v>8</v>
      </c>
      <c r="E159" s="32">
        <v>6.6849315069999999</v>
      </c>
      <c r="F159" s="5">
        <v>488</v>
      </c>
    </row>
    <row r="160" spans="1:6" x14ac:dyDescent="0.3">
      <c r="A160" s="48"/>
      <c r="B160">
        <v>2</v>
      </c>
      <c r="C160" s="33">
        <v>4.333333333333333</v>
      </c>
      <c r="D160">
        <v>8</v>
      </c>
      <c r="E160" s="33">
        <v>33.176470590000001</v>
      </c>
      <c r="F160" s="6">
        <v>1128</v>
      </c>
    </row>
    <row r="161" spans="1:6" x14ac:dyDescent="0.3">
      <c r="A161" s="48"/>
      <c r="B161">
        <v>3</v>
      </c>
      <c r="C161" s="33">
        <v>4.5</v>
      </c>
      <c r="D161">
        <v>7</v>
      </c>
      <c r="E161" s="33">
        <v>1.9729729730000001</v>
      </c>
      <c r="F161" s="6">
        <v>73</v>
      </c>
    </row>
    <row r="162" spans="1:6" x14ac:dyDescent="0.3">
      <c r="A162" s="48"/>
      <c r="B162">
        <v>4</v>
      </c>
      <c r="C162" s="33">
        <v>8</v>
      </c>
      <c r="D162">
        <v>9</v>
      </c>
      <c r="E162" s="33">
        <v>2.542857143</v>
      </c>
      <c r="F162" s="6">
        <v>89</v>
      </c>
    </row>
    <row r="163" spans="1:6" x14ac:dyDescent="0.3">
      <c r="A163" s="48"/>
      <c r="B163">
        <v>5</v>
      </c>
      <c r="C163" s="33">
        <v>5.333333333333333</v>
      </c>
      <c r="D163">
        <v>8</v>
      </c>
      <c r="E163" s="33">
        <v>4.0697674419999998</v>
      </c>
      <c r="F163" s="6">
        <v>175</v>
      </c>
    </row>
    <row r="164" spans="1:6" x14ac:dyDescent="0.3">
      <c r="A164" s="48"/>
      <c r="B164">
        <v>6</v>
      </c>
      <c r="C164" s="33">
        <v>3.8333333333333335</v>
      </c>
      <c r="D164">
        <v>10</v>
      </c>
      <c r="E164" s="33">
        <v>4.8510638300000002</v>
      </c>
      <c r="F164" s="6">
        <v>228</v>
      </c>
    </row>
    <row r="165" spans="1:6" x14ac:dyDescent="0.3">
      <c r="A165" s="48"/>
      <c r="B165">
        <v>7</v>
      </c>
      <c r="C165" s="33">
        <v>6.333333333333333</v>
      </c>
      <c r="D165">
        <v>8</v>
      </c>
      <c r="E165" s="33">
        <v>4.7619047620000003</v>
      </c>
      <c r="F165" s="6">
        <v>100</v>
      </c>
    </row>
    <row r="166" spans="1:6" x14ac:dyDescent="0.3">
      <c r="A166" s="48"/>
      <c r="B166">
        <v>8</v>
      </c>
      <c r="C166" s="33">
        <v>6.666666666666667</v>
      </c>
      <c r="D166">
        <v>8</v>
      </c>
      <c r="E166" s="33">
        <v>3.7083333330000001</v>
      </c>
      <c r="F166" s="6">
        <v>178</v>
      </c>
    </row>
    <row r="167" spans="1:6" x14ac:dyDescent="0.3">
      <c r="A167" s="48"/>
      <c r="B167">
        <v>9</v>
      </c>
      <c r="C167" s="33">
        <v>2.5</v>
      </c>
      <c r="D167">
        <v>9</v>
      </c>
      <c r="E167" s="33">
        <v>3.5</v>
      </c>
      <c r="F167" s="6">
        <v>56</v>
      </c>
    </row>
    <row r="168" spans="1:6" x14ac:dyDescent="0.3">
      <c r="A168" s="49"/>
      <c r="B168" s="7">
        <v>10</v>
      </c>
      <c r="C168" s="34">
        <v>5.666666666666667</v>
      </c>
      <c r="D168" s="7">
        <v>10</v>
      </c>
      <c r="E168" s="34">
        <v>2.307692308</v>
      </c>
      <c r="F168" s="8">
        <v>30</v>
      </c>
    </row>
    <row r="169" spans="1:6" x14ac:dyDescent="0.3">
      <c r="A169" s="47" t="s">
        <v>24</v>
      </c>
      <c r="B169" s="4">
        <v>1</v>
      </c>
      <c r="C169" s="32">
        <v>8.8333333333333339</v>
      </c>
      <c r="D169" s="4">
        <v>8</v>
      </c>
      <c r="E169" s="32">
        <v>4.309090909</v>
      </c>
      <c r="F169" s="5">
        <v>237</v>
      </c>
    </row>
    <row r="170" spans="1:6" x14ac:dyDescent="0.3">
      <c r="A170" s="48"/>
      <c r="B170">
        <v>2</v>
      </c>
      <c r="C170" s="33">
        <v>6</v>
      </c>
      <c r="D170">
        <v>9</v>
      </c>
      <c r="E170" s="33">
        <v>4.3376623380000003</v>
      </c>
      <c r="F170" s="6">
        <v>334</v>
      </c>
    </row>
    <row r="171" spans="1:6" x14ac:dyDescent="0.3">
      <c r="A171" s="48"/>
      <c r="B171">
        <v>3</v>
      </c>
      <c r="C171" s="33">
        <v>5</v>
      </c>
      <c r="D171">
        <v>9</v>
      </c>
      <c r="E171" s="33">
        <v>4.1911764710000003</v>
      </c>
      <c r="F171" s="6">
        <v>285</v>
      </c>
    </row>
    <row r="172" spans="1:6" x14ac:dyDescent="0.3">
      <c r="A172" s="48"/>
      <c r="B172">
        <v>4</v>
      </c>
      <c r="C172" s="33">
        <v>4.833333333333333</v>
      </c>
      <c r="D172">
        <v>7</v>
      </c>
      <c r="E172" s="33">
        <v>2.605769231</v>
      </c>
      <c r="F172" s="6">
        <v>271</v>
      </c>
    </row>
    <row r="173" spans="1:6" x14ac:dyDescent="0.3">
      <c r="A173" s="48"/>
      <c r="B173">
        <v>5</v>
      </c>
      <c r="C173" s="33">
        <v>6.833333333333333</v>
      </c>
      <c r="D173">
        <v>6</v>
      </c>
      <c r="E173" s="33">
        <v>2.0555555559999998</v>
      </c>
      <c r="F173" s="6">
        <v>37</v>
      </c>
    </row>
    <row r="174" spans="1:6" x14ac:dyDescent="0.3">
      <c r="A174" s="48"/>
      <c r="B174">
        <v>6</v>
      </c>
      <c r="C174" s="33">
        <v>8.3333333333333339</v>
      </c>
      <c r="D174">
        <v>8</v>
      </c>
      <c r="E174" s="33">
        <v>2.542857143</v>
      </c>
      <c r="F174" s="6">
        <v>89</v>
      </c>
    </row>
    <row r="175" spans="1:6" x14ac:dyDescent="0.3">
      <c r="A175" s="48"/>
      <c r="B175">
        <v>7</v>
      </c>
      <c r="C175" s="33">
        <v>7.333333333333333</v>
      </c>
      <c r="D175">
        <v>8</v>
      </c>
      <c r="E175" s="33">
        <v>2.8674698799999998</v>
      </c>
      <c r="F175" s="6">
        <v>238</v>
      </c>
    </row>
    <row r="176" spans="1:6" x14ac:dyDescent="0.3">
      <c r="A176" s="48"/>
      <c r="B176">
        <v>8</v>
      </c>
      <c r="C176" s="33">
        <v>6.5</v>
      </c>
      <c r="D176">
        <v>7</v>
      </c>
      <c r="E176" s="33">
        <v>4.0697674419999998</v>
      </c>
      <c r="F176" s="6">
        <v>175</v>
      </c>
    </row>
    <row r="177" spans="1:6" x14ac:dyDescent="0.3">
      <c r="A177" s="48"/>
      <c r="B177">
        <v>9</v>
      </c>
      <c r="C177" s="33">
        <v>5</v>
      </c>
      <c r="D177">
        <v>10</v>
      </c>
      <c r="E177" s="33">
        <v>4.8510638300000002</v>
      </c>
      <c r="F177" s="6">
        <v>228</v>
      </c>
    </row>
    <row r="178" spans="1:6" x14ac:dyDescent="0.3">
      <c r="A178" s="48"/>
      <c r="B178">
        <v>10</v>
      </c>
      <c r="C178" s="33">
        <v>4</v>
      </c>
      <c r="D178">
        <v>9</v>
      </c>
      <c r="E178" s="33">
        <v>2.6145833330000001</v>
      </c>
      <c r="F178" s="6">
        <v>251</v>
      </c>
    </row>
    <row r="179" spans="1:6" x14ac:dyDescent="0.3">
      <c r="A179" s="48"/>
      <c r="B179">
        <v>11</v>
      </c>
      <c r="C179" s="33">
        <v>5</v>
      </c>
      <c r="D179">
        <v>8</v>
      </c>
      <c r="E179" s="33">
        <v>4.7619047620000003</v>
      </c>
      <c r="F179" s="6">
        <v>100</v>
      </c>
    </row>
    <row r="180" spans="1:6" x14ac:dyDescent="0.3">
      <c r="A180" s="48"/>
      <c r="B180">
        <v>12</v>
      </c>
      <c r="C180" s="33">
        <v>7.333333333333333</v>
      </c>
      <c r="D180">
        <v>7</v>
      </c>
      <c r="E180" s="33">
        <v>1.565217391</v>
      </c>
      <c r="F180" s="6">
        <v>36</v>
      </c>
    </row>
    <row r="181" spans="1:6" x14ac:dyDescent="0.3">
      <c r="A181" s="48"/>
      <c r="B181">
        <v>13</v>
      </c>
      <c r="C181" s="33">
        <v>6.666666666666667</v>
      </c>
      <c r="D181">
        <v>7</v>
      </c>
      <c r="E181" s="33">
        <v>3.7083333330000001</v>
      </c>
      <c r="F181" s="6">
        <v>178</v>
      </c>
    </row>
    <row r="182" spans="1:6" x14ac:dyDescent="0.3">
      <c r="A182" s="48"/>
      <c r="B182">
        <v>14</v>
      </c>
      <c r="C182" s="33">
        <v>3</v>
      </c>
      <c r="D182">
        <v>8</v>
      </c>
      <c r="E182" s="33">
        <v>3.5</v>
      </c>
      <c r="F182" s="6">
        <v>56</v>
      </c>
    </row>
    <row r="183" spans="1:6" x14ac:dyDescent="0.3">
      <c r="A183" s="49"/>
      <c r="B183" s="7">
        <v>15</v>
      </c>
      <c r="C183" s="34">
        <v>6.166666666666667</v>
      </c>
      <c r="D183" s="7">
        <v>9</v>
      </c>
      <c r="E183" s="34">
        <v>2.307692308</v>
      </c>
      <c r="F183" s="8">
        <v>30</v>
      </c>
    </row>
    <row r="185" spans="1:6" x14ac:dyDescent="0.3">
      <c r="A185" s="3"/>
    </row>
    <row r="186" spans="1:6" x14ac:dyDescent="0.3">
      <c r="A186" s="3"/>
    </row>
    <row r="187" spans="1:6" x14ac:dyDescent="0.3">
      <c r="A187" s="3"/>
    </row>
    <row r="188" spans="1:6" x14ac:dyDescent="0.3">
      <c r="A188" s="3"/>
    </row>
    <row r="189" spans="1:6" x14ac:dyDescent="0.3">
      <c r="A189" s="3"/>
    </row>
    <row r="190" spans="1:6" x14ac:dyDescent="0.3">
      <c r="A190" s="3"/>
    </row>
    <row r="192" spans="1:6" x14ac:dyDescent="0.3">
      <c r="A192" s="3"/>
    </row>
    <row r="193" spans="1:1" x14ac:dyDescent="0.3">
      <c r="A193" s="3"/>
    </row>
    <row r="194" spans="1:1" x14ac:dyDescent="0.3">
      <c r="A194" s="3"/>
    </row>
    <row r="195" spans="1:1" x14ac:dyDescent="0.3">
      <c r="A195" s="3"/>
    </row>
    <row r="196" spans="1:1" x14ac:dyDescent="0.3">
      <c r="A196" s="3"/>
    </row>
    <row r="197" spans="1:1" x14ac:dyDescent="0.3">
      <c r="A197" s="3"/>
    </row>
    <row r="198" spans="1:1" x14ac:dyDescent="0.3">
      <c r="A198" s="3"/>
    </row>
    <row r="199" spans="1:1" x14ac:dyDescent="0.3">
      <c r="A199" s="3"/>
    </row>
    <row r="200" spans="1:1" x14ac:dyDescent="0.3">
      <c r="A200" s="3"/>
    </row>
    <row r="201" spans="1:1" x14ac:dyDescent="0.3">
      <c r="A201" s="3"/>
    </row>
    <row r="202" spans="1:1" x14ac:dyDescent="0.3">
      <c r="A202" s="3"/>
    </row>
    <row r="204" spans="1:1" x14ac:dyDescent="0.3">
      <c r="A204" s="3"/>
    </row>
    <row r="205" spans="1:1" x14ac:dyDescent="0.3">
      <c r="A205" s="3"/>
    </row>
    <row r="206" spans="1:1" x14ac:dyDescent="0.3">
      <c r="A206" s="3"/>
    </row>
    <row r="207" spans="1:1" x14ac:dyDescent="0.3">
      <c r="A207" s="3"/>
    </row>
    <row r="208" spans="1:1" x14ac:dyDescent="0.3">
      <c r="A208" s="3"/>
    </row>
    <row r="209" spans="1:1" x14ac:dyDescent="0.3">
      <c r="A209" s="3"/>
    </row>
    <row r="210" spans="1:1" x14ac:dyDescent="0.3">
      <c r="A210" s="3"/>
    </row>
    <row r="211" spans="1:1" x14ac:dyDescent="0.3">
      <c r="A211" s="3"/>
    </row>
    <row r="212" spans="1:1" x14ac:dyDescent="0.3">
      <c r="A212" s="3"/>
    </row>
    <row r="213" spans="1:1" x14ac:dyDescent="0.3">
      <c r="A213" s="3"/>
    </row>
    <row r="214" spans="1:1" x14ac:dyDescent="0.3">
      <c r="A214" s="3"/>
    </row>
    <row r="215" spans="1:1" x14ac:dyDescent="0.3">
      <c r="A215" s="3"/>
    </row>
    <row r="216" spans="1:1" x14ac:dyDescent="0.3">
      <c r="A216" s="3"/>
    </row>
    <row r="217" spans="1:1" x14ac:dyDescent="0.3">
      <c r="A217" s="3"/>
    </row>
    <row r="218" spans="1:1" x14ac:dyDescent="0.3">
      <c r="A218" s="3"/>
    </row>
    <row r="219" spans="1:1" x14ac:dyDescent="0.3">
      <c r="A219" s="3"/>
    </row>
    <row r="221" spans="1:1" x14ac:dyDescent="0.3">
      <c r="A221" s="3"/>
    </row>
    <row r="222" spans="1:1" x14ac:dyDescent="0.3">
      <c r="A222" s="3"/>
    </row>
    <row r="223" spans="1:1" x14ac:dyDescent="0.3">
      <c r="A223" s="3"/>
    </row>
    <row r="224" spans="1:1" x14ac:dyDescent="0.3">
      <c r="A224" s="3"/>
    </row>
    <row r="225" spans="1:1" x14ac:dyDescent="0.3">
      <c r="A225" s="3"/>
    </row>
    <row r="226" spans="1:1" x14ac:dyDescent="0.3">
      <c r="A226" s="3"/>
    </row>
    <row r="228" spans="1:1" x14ac:dyDescent="0.3">
      <c r="A228" s="3"/>
    </row>
    <row r="229" spans="1:1" x14ac:dyDescent="0.3">
      <c r="A229" s="3"/>
    </row>
    <row r="230" spans="1:1" x14ac:dyDescent="0.3">
      <c r="A230" s="3"/>
    </row>
    <row r="231" spans="1:1" x14ac:dyDescent="0.3">
      <c r="A231" s="3"/>
    </row>
    <row r="232" spans="1:1" x14ac:dyDescent="0.3">
      <c r="A232" s="3"/>
    </row>
    <row r="233" spans="1:1" x14ac:dyDescent="0.3">
      <c r="A233" s="3"/>
    </row>
    <row r="234" spans="1:1" x14ac:dyDescent="0.3">
      <c r="A234" s="3"/>
    </row>
    <row r="235" spans="1:1" x14ac:dyDescent="0.3">
      <c r="A235" s="3"/>
    </row>
    <row r="236" spans="1:1" x14ac:dyDescent="0.3">
      <c r="A236" s="3"/>
    </row>
    <row r="237" spans="1:1" x14ac:dyDescent="0.3">
      <c r="A237" s="3"/>
    </row>
    <row r="238" spans="1:1" x14ac:dyDescent="0.3">
      <c r="A238" s="3"/>
    </row>
    <row r="240" spans="1:1" x14ac:dyDescent="0.3">
      <c r="A240" s="3"/>
    </row>
    <row r="241" spans="1:1" x14ac:dyDescent="0.3">
      <c r="A241" s="3"/>
    </row>
    <row r="242" spans="1:1" x14ac:dyDescent="0.3">
      <c r="A242" s="3"/>
    </row>
    <row r="243" spans="1:1" x14ac:dyDescent="0.3">
      <c r="A243" s="3"/>
    </row>
    <row r="244" spans="1:1" x14ac:dyDescent="0.3">
      <c r="A244" s="3"/>
    </row>
    <row r="245" spans="1:1" x14ac:dyDescent="0.3">
      <c r="A245" s="3"/>
    </row>
    <row r="246" spans="1:1" x14ac:dyDescent="0.3">
      <c r="A246" s="3"/>
    </row>
    <row r="247" spans="1:1" x14ac:dyDescent="0.3">
      <c r="A247" s="3"/>
    </row>
    <row r="248" spans="1:1" x14ac:dyDescent="0.3">
      <c r="A248" s="3"/>
    </row>
    <row r="249" spans="1:1" x14ac:dyDescent="0.3">
      <c r="A249" s="3"/>
    </row>
    <row r="250" spans="1:1" x14ac:dyDescent="0.3">
      <c r="A250" s="3"/>
    </row>
    <row r="251" spans="1:1" x14ac:dyDescent="0.3">
      <c r="A251" s="3"/>
    </row>
    <row r="252" spans="1:1" x14ac:dyDescent="0.3">
      <c r="A252" s="3"/>
    </row>
    <row r="253" spans="1:1" x14ac:dyDescent="0.3">
      <c r="A253" s="3"/>
    </row>
    <row r="254" spans="1:1" x14ac:dyDescent="0.3">
      <c r="A254" s="3"/>
    </row>
    <row r="255" spans="1:1" x14ac:dyDescent="0.3">
      <c r="A255" s="3"/>
    </row>
  </sheetData>
  <mergeCells count="21">
    <mergeCell ref="A169:A183"/>
    <mergeCell ref="A2:A3"/>
    <mergeCell ref="B2:B3"/>
    <mergeCell ref="A4:A8"/>
    <mergeCell ref="A109:A123"/>
    <mergeCell ref="A124:A128"/>
    <mergeCell ref="A129:A138"/>
    <mergeCell ref="A139:A153"/>
    <mergeCell ref="A154:A158"/>
    <mergeCell ref="A159:A168"/>
    <mergeCell ref="A49:A63"/>
    <mergeCell ref="A64:A68"/>
    <mergeCell ref="A69:A78"/>
    <mergeCell ref="A79:A93"/>
    <mergeCell ref="A94:A98"/>
    <mergeCell ref="A99:A108"/>
    <mergeCell ref="C2:F2"/>
    <mergeCell ref="A9:A18"/>
    <mergeCell ref="A19:A33"/>
    <mergeCell ref="A34:A38"/>
    <mergeCell ref="A39:A48"/>
  </mergeCells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7BDA8-B816-49FC-8E0F-7B5DFCE59263}">
  <dimension ref="A2:F255"/>
  <sheetViews>
    <sheetView topLeftCell="A184" workbookViewId="0">
      <selection activeCell="C3" sqref="C3:E183"/>
    </sheetView>
  </sheetViews>
  <sheetFormatPr defaultRowHeight="14.4" x14ac:dyDescent="0.3"/>
  <cols>
    <col min="1" max="1" width="9.5546875" bestFit="1" customWidth="1"/>
    <col min="3" max="3" width="25.77734375" bestFit="1" customWidth="1"/>
    <col min="4" max="4" width="26.33203125" bestFit="1" customWidth="1"/>
    <col min="5" max="5" width="32.88671875" bestFit="1" customWidth="1"/>
  </cols>
  <sheetData>
    <row r="2" spans="1:6" x14ac:dyDescent="0.3">
      <c r="A2" s="44" t="s">
        <v>0</v>
      </c>
      <c r="B2" s="46" t="s">
        <v>25</v>
      </c>
      <c r="C2" s="46" t="s">
        <v>33</v>
      </c>
      <c r="D2" s="46"/>
      <c r="E2" s="46"/>
      <c r="F2" s="9"/>
    </row>
    <row r="3" spans="1:6" x14ac:dyDescent="0.3">
      <c r="A3" s="44"/>
      <c r="B3" s="46"/>
      <c r="C3" s="2" t="s">
        <v>30</v>
      </c>
      <c r="D3" s="2" t="s">
        <v>31</v>
      </c>
      <c r="E3" s="2" t="s">
        <v>32</v>
      </c>
      <c r="F3" s="1"/>
    </row>
    <row r="4" spans="1:6" x14ac:dyDescent="0.3">
      <c r="A4" s="47" t="s">
        <v>5</v>
      </c>
      <c r="B4" s="4">
        <v>1</v>
      </c>
      <c r="C4" s="32">
        <v>0.86363636363636365</v>
      </c>
      <c r="D4" s="4">
        <v>0.8</v>
      </c>
      <c r="E4" s="38">
        <v>2.2742251746408329E-2</v>
      </c>
    </row>
    <row r="5" spans="1:6" x14ac:dyDescent="0.3">
      <c r="A5" s="48"/>
      <c r="B5">
        <v>2</v>
      </c>
      <c r="C5" s="33">
        <v>0.54545454545454541</v>
      </c>
      <c r="D5">
        <v>0.8</v>
      </c>
      <c r="E5" s="39">
        <v>3.1355032555687355E-2</v>
      </c>
    </row>
    <row r="6" spans="1:6" x14ac:dyDescent="0.3">
      <c r="A6" s="48"/>
      <c r="B6">
        <v>3</v>
      </c>
      <c r="C6" s="33">
        <v>0.5</v>
      </c>
      <c r="D6">
        <v>0.6</v>
      </c>
      <c r="E6" s="39">
        <v>3.535442678265454E-2</v>
      </c>
    </row>
    <row r="7" spans="1:6" x14ac:dyDescent="0.3">
      <c r="A7" s="48"/>
      <c r="B7">
        <v>4</v>
      </c>
      <c r="C7" s="33">
        <v>0.34090909090909088</v>
      </c>
      <c r="D7">
        <v>0.8</v>
      </c>
      <c r="E7" s="39">
        <v>1.729513536312113E-2</v>
      </c>
    </row>
    <row r="8" spans="1:6" x14ac:dyDescent="0.3">
      <c r="A8" s="48"/>
      <c r="B8">
        <v>5</v>
      </c>
      <c r="C8" s="33">
        <v>0.45454545454545447</v>
      </c>
      <c r="D8">
        <v>0.8</v>
      </c>
      <c r="E8" s="39">
        <v>1.8908628443390009E-2</v>
      </c>
    </row>
    <row r="9" spans="1:6" x14ac:dyDescent="0.3">
      <c r="A9" s="47" t="s">
        <v>6</v>
      </c>
      <c r="B9" s="4">
        <v>1</v>
      </c>
      <c r="C9" s="32">
        <v>0.84090909090909072</v>
      </c>
      <c r="D9" s="4">
        <v>0.4</v>
      </c>
      <c r="E9" s="38">
        <v>1.8930406221167786E-2</v>
      </c>
    </row>
    <row r="10" spans="1:6" x14ac:dyDescent="0.3">
      <c r="A10" s="48"/>
      <c r="B10">
        <v>2</v>
      </c>
      <c r="C10" s="33">
        <v>0.74999999999999989</v>
      </c>
      <c r="D10">
        <v>0.8</v>
      </c>
      <c r="E10" s="39">
        <v>1.9026142085145643E-2</v>
      </c>
    </row>
    <row r="11" spans="1:6" x14ac:dyDescent="0.3">
      <c r="A11" s="48"/>
      <c r="B11">
        <v>3</v>
      </c>
      <c r="C11" s="33">
        <v>0.72727272727272718</v>
      </c>
      <c r="D11">
        <v>0.6</v>
      </c>
      <c r="E11" s="39">
        <v>1.7753653354422038E-2</v>
      </c>
    </row>
    <row r="12" spans="1:6" x14ac:dyDescent="0.3">
      <c r="A12" s="48"/>
      <c r="B12">
        <v>4</v>
      </c>
      <c r="C12" s="33">
        <v>0.59090909090909083</v>
      </c>
      <c r="D12">
        <v>0.6</v>
      </c>
      <c r="E12" s="39">
        <v>1.3378146830104125E-2</v>
      </c>
    </row>
    <row r="13" spans="1:6" x14ac:dyDescent="0.3">
      <c r="A13" s="48"/>
      <c r="B13">
        <v>5</v>
      </c>
      <c r="C13" s="33">
        <v>0.7954545454545453</v>
      </c>
      <c r="D13">
        <v>0.8</v>
      </c>
      <c r="E13" s="39">
        <v>1.0834996177672335E-2</v>
      </c>
    </row>
    <row r="14" spans="1:6" x14ac:dyDescent="0.3">
      <c r="A14" s="48"/>
      <c r="B14">
        <v>6</v>
      </c>
      <c r="C14" s="33">
        <v>0.43181818181818182</v>
      </c>
      <c r="D14">
        <v>0.8</v>
      </c>
      <c r="E14" s="39">
        <v>9.3940608936338467E-3</v>
      </c>
    </row>
    <row r="15" spans="1:6" x14ac:dyDescent="0.3">
      <c r="A15" s="48"/>
      <c r="B15">
        <v>7</v>
      </c>
      <c r="C15" s="33">
        <v>0.54545454545454541</v>
      </c>
      <c r="D15">
        <v>0.8</v>
      </c>
      <c r="E15" s="39">
        <v>9.3185712402794243E-3</v>
      </c>
    </row>
    <row r="16" spans="1:6" x14ac:dyDescent="0.3">
      <c r="A16" s="48"/>
      <c r="B16">
        <v>8</v>
      </c>
      <c r="C16" s="33">
        <v>0.97727272727272707</v>
      </c>
      <c r="D16">
        <v>0.8</v>
      </c>
      <c r="E16" s="39">
        <v>5.8545132463424278E-3</v>
      </c>
    </row>
    <row r="17" spans="1:5" x14ac:dyDescent="0.3">
      <c r="A17" s="48"/>
      <c r="B17">
        <v>9</v>
      </c>
      <c r="C17" s="33">
        <v>0.7954545454545453</v>
      </c>
      <c r="D17">
        <v>0.8</v>
      </c>
      <c r="E17" s="39">
        <v>1.0232813496770793E-2</v>
      </c>
    </row>
    <row r="18" spans="1:5" x14ac:dyDescent="0.3">
      <c r="A18" s="48"/>
      <c r="B18">
        <v>10</v>
      </c>
      <c r="C18" s="33">
        <v>0.65909090909090895</v>
      </c>
      <c r="D18">
        <v>1</v>
      </c>
      <c r="E18" s="39">
        <v>1.7554265454066166E-2</v>
      </c>
    </row>
    <row r="19" spans="1:5" x14ac:dyDescent="0.3">
      <c r="A19" s="47" t="s">
        <v>7</v>
      </c>
      <c r="B19" s="4">
        <v>1</v>
      </c>
      <c r="C19" s="32">
        <v>0.70454545454545447</v>
      </c>
      <c r="D19" s="4">
        <v>0.4</v>
      </c>
      <c r="E19" s="38">
        <v>1.7760643205483064E-2</v>
      </c>
    </row>
    <row r="20" spans="1:5" x14ac:dyDescent="0.3">
      <c r="A20" s="48"/>
      <c r="B20">
        <v>2</v>
      </c>
      <c r="C20" s="33">
        <v>0.81818181818181812</v>
      </c>
      <c r="D20">
        <v>0.8</v>
      </c>
      <c r="E20" s="39">
        <v>7.3208749520060059E-3</v>
      </c>
    </row>
    <row r="21" spans="1:5" x14ac:dyDescent="0.3">
      <c r="A21" s="48"/>
      <c r="B21">
        <v>3</v>
      </c>
      <c r="C21" s="33">
        <v>0.63636363636363635</v>
      </c>
      <c r="D21">
        <v>0.6</v>
      </c>
      <c r="E21" s="39">
        <v>6.8750876924450581E-3</v>
      </c>
    </row>
    <row r="22" spans="1:5" x14ac:dyDescent="0.3">
      <c r="A22" s="48"/>
      <c r="B22">
        <v>4</v>
      </c>
      <c r="C22" s="33">
        <v>0.56818181818181812</v>
      </c>
      <c r="D22">
        <v>0.6</v>
      </c>
      <c r="E22" s="39">
        <v>7.2756030051403736E-3</v>
      </c>
    </row>
    <row r="23" spans="1:5" x14ac:dyDescent="0.3">
      <c r="A23" s="48"/>
      <c r="B23">
        <v>5</v>
      </c>
      <c r="C23" s="33">
        <v>0.70454545454545447</v>
      </c>
      <c r="D23">
        <v>0.8</v>
      </c>
      <c r="E23" s="39">
        <v>1.0834997786361962E-2</v>
      </c>
    </row>
    <row r="24" spans="1:5" x14ac:dyDescent="0.3">
      <c r="A24" s="48"/>
      <c r="B24">
        <v>6</v>
      </c>
      <c r="C24" s="33">
        <v>0.81818181818181812</v>
      </c>
      <c r="D24">
        <v>0.4</v>
      </c>
      <c r="E24" s="39">
        <v>6.8313941260106171E-3</v>
      </c>
    </row>
    <row r="25" spans="1:5" x14ac:dyDescent="0.3">
      <c r="A25" s="48"/>
      <c r="B25">
        <v>7</v>
      </c>
      <c r="C25" s="33">
        <v>0.95454545454545447</v>
      </c>
      <c r="D25">
        <v>0.6</v>
      </c>
      <c r="E25" s="39">
        <v>1.1163832872017925E-2</v>
      </c>
    </row>
    <row r="26" spans="1:5" x14ac:dyDescent="0.3">
      <c r="A26" s="48"/>
      <c r="B26">
        <v>8</v>
      </c>
      <c r="C26" s="33">
        <v>0.56818181818181812</v>
      </c>
      <c r="D26">
        <v>0.8</v>
      </c>
      <c r="E26" s="39">
        <v>9.3940592161232718E-3</v>
      </c>
    </row>
    <row r="27" spans="1:5" x14ac:dyDescent="0.3">
      <c r="A27" s="48"/>
      <c r="B27">
        <v>9</v>
      </c>
      <c r="C27" s="33">
        <v>0.81818181818181812</v>
      </c>
      <c r="D27">
        <v>0.8</v>
      </c>
      <c r="E27" s="39">
        <v>1.3822687132295675E-2</v>
      </c>
    </row>
    <row r="28" spans="1:5" x14ac:dyDescent="0.3">
      <c r="A28" s="48"/>
      <c r="B28">
        <v>10</v>
      </c>
      <c r="C28" s="33">
        <v>0.81818181818181812</v>
      </c>
      <c r="D28">
        <v>0.6</v>
      </c>
      <c r="E28" s="39">
        <v>7.4405710957197594E-3</v>
      </c>
    </row>
    <row r="29" spans="1:5" x14ac:dyDescent="0.3">
      <c r="A29" s="48"/>
      <c r="B29">
        <v>11</v>
      </c>
      <c r="C29" s="33">
        <v>0.88636363636363624</v>
      </c>
      <c r="D29">
        <v>0.8</v>
      </c>
      <c r="E29" s="39">
        <v>5.8545119043339668E-3</v>
      </c>
    </row>
    <row r="30" spans="1:5" x14ac:dyDescent="0.3">
      <c r="A30" s="48"/>
      <c r="B30">
        <v>12</v>
      </c>
      <c r="C30" s="33">
        <v>0.84090909090909072</v>
      </c>
      <c r="D30">
        <v>0.8</v>
      </c>
      <c r="E30" s="39">
        <v>1.0232814503277137E-2</v>
      </c>
    </row>
    <row r="31" spans="1:5" x14ac:dyDescent="0.3">
      <c r="A31" s="48"/>
      <c r="B31">
        <v>13</v>
      </c>
      <c r="C31" s="33">
        <v>0.65909090909090895</v>
      </c>
      <c r="D31">
        <v>0.8</v>
      </c>
      <c r="E31" s="39">
        <v>1.7554265259828099E-2</v>
      </c>
    </row>
    <row r="32" spans="1:5" x14ac:dyDescent="0.3">
      <c r="A32" s="48"/>
      <c r="B32">
        <v>14</v>
      </c>
      <c r="C32" s="33">
        <v>0.63636363636363635</v>
      </c>
      <c r="D32">
        <v>0.6</v>
      </c>
      <c r="E32" s="39">
        <v>8.3036773428232496E-3</v>
      </c>
    </row>
    <row r="33" spans="1:5" x14ac:dyDescent="0.3">
      <c r="A33" s="48"/>
      <c r="B33">
        <v>15</v>
      </c>
      <c r="C33" s="33">
        <v>0.59090909090909083</v>
      </c>
      <c r="D33">
        <v>0.6</v>
      </c>
      <c r="E33" s="39">
        <v>1.4454549448618251E-2</v>
      </c>
    </row>
    <row r="34" spans="1:5" x14ac:dyDescent="0.3">
      <c r="A34" s="47" t="s">
        <v>8</v>
      </c>
      <c r="B34" s="4">
        <v>1</v>
      </c>
      <c r="C34" s="32">
        <v>0.72727272727272718</v>
      </c>
      <c r="D34" s="4">
        <v>0.4</v>
      </c>
      <c r="E34" s="38">
        <v>1.8891244082306448E-2</v>
      </c>
    </row>
    <row r="35" spans="1:5" x14ac:dyDescent="0.3">
      <c r="A35" s="48"/>
      <c r="B35">
        <v>2</v>
      </c>
      <c r="C35" s="33">
        <v>9.0909090909090884E-2</v>
      </c>
      <c r="D35">
        <v>0.6</v>
      </c>
      <c r="E35" s="39">
        <v>1</v>
      </c>
    </row>
    <row r="36" spans="1:5" x14ac:dyDescent="0.3">
      <c r="A36" s="48"/>
      <c r="B36">
        <v>3</v>
      </c>
      <c r="C36" s="33">
        <v>0.61363636363636354</v>
      </c>
      <c r="D36">
        <v>0.4</v>
      </c>
      <c r="E36" s="39">
        <v>1.0894140787379223E-2</v>
      </c>
    </row>
    <row r="37" spans="1:5" x14ac:dyDescent="0.3">
      <c r="A37" s="48"/>
      <c r="B37">
        <v>4</v>
      </c>
      <c r="C37" s="33">
        <v>0.7954545454545453</v>
      </c>
      <c r="D37">
        <v>0.4</v>
      </c>
      <c r="E37" s="39">
        <v>3.690523263477E-3</v>
      </c>
    </row>
    <row r="38" spans="1:5" x14ac:dyDescent="0.3">
      <c r="A38" s="48"/>
      <c r="B38">
        <v>5</v>
      </c>
      <c r="C38" s="33">
        <v>0.56818181818181812</v>
      </c>
      <c r="D38">
        <v>0.6</v>
      </c>
      <c r="E38" s="39">
        <v>6.5609302461813335E-3</v>
      </c>
    </row>
    <row r="39" spans="1:5" x14ac:dyDescent="0.3">
      <c r="A39" s="47" t="s">
        <v>9</v>
      </c>
      <c r="B39" s="4">
        <v>1</v>
      </c>
      <c r="C39" s="32">
        <v>0.72727272727272718</v>
      </c>
      <c r="D39" s="4">
        <v>0.6</v>
      </c>
      <c r="E39" s="38">
        <v>1.9601858210836171E-2</v>
      </c>
    </row>
    <row r="40" spans="1:5" x14ac:dyDescent="0.3">
      <c r="A40" s="48"/>
      <c r="B40">
        <v>2</v>
      </c>
      <c r="C40" s="33">
        <v>0.11363636363636365</v>
      </c>
      <c r="D40">
        <v>0.6</v>
      </c>
      <c r="E40" s="39">
        <v>0.2106791982236822</v>
      </c>
    </row>
    <row r="41" spans="1:5" x14ac:dyDescent="0.3">
      <c r="A41" s="48"/>
      <c r="B41">
        <v>3</v>
      </c>
      <c r="C41" s="33">
        <v>0.59090909090909083</v>
      </c>
      <c r="D41">
        <v>0.2</v>
      </c>
      <c r="E41" s="39">
        <v>1.0894140787379223E-2</v>
      </c>
    </row>
    <row r="42" spans="1:5" x14ac:dyDescent="0.3">
      <c r="A42" s="48"/>
      <c r="B42">
        <v>4</v>
      </c>
      <c r="C42" s="33">
        <v>0.65909090909090895</v>
      </c>
      <c r="D42">
        <v>0</v>
      </c>
      <c r="E42" s="39">
        <v>6.300250428364307E-3</v>
      </c>
    </row>
    <row r="43" spans="1:5" x14ac:dyDescent="0.3">
      <c r="A43" s="48"/>
      <c r="B43">
        <v>5</v>
      </c>
      <c r="C43" s="33">
        <v>0.45454545454545447</v>
      </c>
      <c r="D43">
        <v>0.8</v>
      </c>
      <c r="E43" s="39">
        <v>1.0731653174058118E-2</v>
      </c>
    </row>
    <row r="44" spans="1:5" x14ac:dyDescent="0.3">
      <c r="A44" s="48"/>
      <c r="B44">
        <v>6</v>
      </c>
      <c r="C44" s="33">
        <v>0.36363636363636365</v>
      </c>
      <c r="D44">
        <v>0.4</v>
      </c>
      <c r="E44" s="39">
        <v>8.2198018141078633E-3</v>
      </c>
    </row>
    <row r="45" spans="1:5" x14ac:dyDescent="0.3">
      <c r="A45" s="48"/>
      <c r="B45">
        <v>7</v>
      </c>
      <c r="C45" s="33">
        <v>0.88636363636363624</v>
      </c>
      <c r="D45">
        <v>0.6</v>
      </c>
      <c r="E45" s="39">
        <v>0</v>
      </c>
    </row>
    <row r="46" spans="1:5" x14ac:dyDescent="0.3">
      <c r="A46" s="48"/>
      <c r="B46">
        <v>8</v>
      </c>
      <c r="C46" s="33">
        <v>0.74999999999999989</v>
      </c>
      <c r="D46">
        <v>0.2</v>
      </c>
      <c r="E46" s="39">
        <v>6.5609302461813335E-3</v>
      </c>
    </row>
    <row r="47" spans="1:5" x14ac:dyDescent="0.3">
      <c r="A47" s="48"/>
      <c r="B47">
        <v>9</v>
      </c>
      <c r="C47" s="33">
        <v>1</v>
      </c>
      <c r="D47">
        <v>0.4</v>
      </c>
      <c r="E47" s="39">
        <v>3.690523263477E-3</v>
      </c>
    </row>
    <row r="48" spans="1:5" x14ac:dyDescent="0.3">
      <c r="A48" s="48"/>
      <c r="B48">
        <v>10</v>
      </c>
      <c r="C48" s="33">
        <v>0.86363636363636365</v>
      </c>
      <c r="D48">
        <v>0.6</v>
      </c>
      <c r="E48" s="39">
        <v>0</v>
      </c>
    </row>
    <row r="49" spans="1:5" x14ac:dyDescent="0.3">
      <c r="A49" s="47" t="s">
        <v>10</v>
      </c>
      <c r="B49" s="4">
        <v>1</v>
      </c>
      <c r="C49" s="32">
        <v>0.61363636363636354</v>
      </c>
      <c r="D49" s="4">
        <v>0.8</v>
      </c>
      <c r="E49" s="38">
        <v>1.9601858210836171E-2</v>
      </c>
    </row>
    <row r="50" spans="1:5" x14ac:dyDescent="0.3">
      <c r="A50" s="48"/>
      <c r="B50">
        <v>2</v>
      </c>
      <c r="C50" s="33">
        <v>4.545454545454547E-2</v>
      </c>
      <c r="D50">
        <v>0.8</v>
      </c>
      <c r="E50" s="39">
        <v>0.2106791982236822</v>
      </c>
    </row>
    <row r="51" spans="1:5" x14ac:dyDescent="0.3">
      <c r="A51" s="48"/>
      <c r="B51">
        <v>3</v>
      </c>
      <c r="C51" s="33">
        <v>0.5227272727272726</v>
      </c>
      <c r="D51">
        <v>0.4</v>
      </c>
      <c r="E51" s="39">
        <v>1.0894140787379223E-2</v>
      </c>
    </row>
    <row r="52" spans="1:5" x14ac:dyDescent="0.3">
      <c r="A52" s="48"/>
      <c r="B52">
        <v>4</v>
      </c>
      <c r="C52" s="33">
        <v>0.56818181818181812</v>
      </c>
      <c r="D52">
        <v>0.2</v>
      </c>
      <c r="E52" s="39">
        <v>6.300250428364307E-3</v>
      </c>
    </row>
    <row r="53" spans="1:5" x14ac:dyDescent="0.3">
      <c r="A53" s="48"/>
      <c r="B53">
        <v>5</v>
      </c>
      <c r="C53" s="33">
        <v>0.74999999999999989</v>
      </c>
      <c r="D53">
        <v>0.6</v>
      </c>
      <c r="E53" s="39">
        <v>6.6890734150520624E-3</v>
      </c>
    </row>
    <row r="54" spans="1:5" x14ac:dyDescent="0.3">
      <c r="A54" s="48"/>
      <c r="B54">
        <v>6</v>
      </c>
      <c r="C54" s="33">
        <v>0.84090909090909072</v>
      </c>
      <c r="D54">
        <v>0.8</v>
      </c>
      <c r="E54" s="39">
        <v>1.0929626587989578E-2</v>
      </c>
    </row>
    <row r="55" spans="1:5" x14ac:dyDescent="0.3">
      <c r="A55" s="48"/>
      <c r="B55">
        <v>7</v>
      </c>
      <c r="C55" s="33">
        <v>0.88636363636363624</v>
      </c>
      <c r="D55">
        <v>0.6</v>
      </c>
      <c r="E55" s="39">
        <v>6.4584157110847504E-3</v>
      </c>
    </row>
    <row r="56" spans="1:5" x14ac:dyDescent="0.3">
      <c r="A56" s="48"/>
      <c r="B56">
        <v>8</v>
      </c>
      <c r="C56" s="33">
        <v>0.68181818181818177</v>
      </c>
      <c r="D56">
        <v>0.8</v>
      </c>
      <c r="E56" s="39">
        <v>8.6112209481129989E-3</v>
      </c>
    </row>
    <row r="57" spans="1:5" x14ac:dyDescent="0.3">
      <c r="A57" s="48"/>
      <c r="B57">
        <v>9</v>
      </c>
      <c r="C57" s="33">
        <v>0.90909090909090895</v>
      </c>
      <c r="D57">
        <v>0.6</v>
      </c>
      <c r="E57" s="39">
        <v>0</v>
      </c>
    </row>
    <row r="58" spans="1:5" x14ac:dyDescent="0.3">
      <c r="A58" s="48"/>
      <c r="B58">
        <v>10</v>
      </c>
      <c r="C58" s="33">
        <v>0.95454545454545447</v>
      </c>
      <c r="D58">
        <v>0.8</v>
      </c>
      <c r="E58" s="39">
        <v>0</v>
      </c>
    </row>
    <row r="59" spans="1:5" x14ac:dyDescent="0.3">
      <c r="A59" s="48"/>
      <c r="B59">
        <v>11</v>
      </c>
      <c r="C59" s="33">
        <v>0.68181818181818177</v>
      </c>
      <c r="D59">
        <v>0.8</v>
      </c>
      <c r="E59" s="39">
        <v>6.5609302461813335E-3</v>
      </c>
    </row>
    <row r="60" spans="1:5" x14ac:dyDescent="0.3">
      <c r="A60" s="48"/>
      <c r="B60">
        <v>12</v>
      </c>
      <c r="C60" s="33">
        <v>0.81818181818181812</v>
      </c>
      <c r="D60">
        <v>0.8</v>
      </c>
      <c r="E60" s="39">
        <v>3.690523263477E-3</v>
      </c>
    </row>
    <row r="61" spans="1:5" x14ac:dyDescent="0.3">
      <c r="A61" s="48"/>
      <c r="B61">
        <v>13</v>
      </c>
      <c r="C61" s="33">
        <v>0.81818181818181812</v>
      </c>
      <c r="D61">
        <v>0.8</v>
      </c>
      <c r="E61" s="39">
        <v>3.9980668687667493E-3</v>
      </c>
    </row>
    <row r="62" spans="1:5" x14ac:dyDescent="0.3">
      <c r="A62" s="48"/>
      <c r="B62">
        <v>14</v>
      </c>
      <c r="C62" s="33">
        <v>0.97727272727272707</v>
      </c>
      <c r="D62">
        <v>0.8</v>
      </c>
      <c r="E62" s="39">
        <v>3.690523263477E-3</v>
      </c>
    </row>
    <row r="63" spans="1:5" x14ac:dyDescent="0.3">
      <c r="A63" s="48"/>
      <c r="B63">
        <v>15</v>
      </c>
      <c r="C63" s="33">
        <v>0.7954545454545453</v>
      </c>
      <c r="D63">
        <v>0.6</v>
      </c>
      <c r="E63" s="39">
        <v>0</v>
      </c>
    </row>
    <row r="64" spans="1:5" x14ac:dyDescent="0.3">
      <c r="A64" s="47" t="s">
        <v>11</v>
      </c>
      <c r="B64" s="4">
        <v>1</v>
      </c>
      <c r="C64" s="32">
        <v>0.45454545454545447</v>
      </c>
      <c r="D64" s="4">
        <v>0.4</v>
      </c>
      <c r="E64" s="38">
        <v>2.755231902523322E-2</v>
      </c>
    </row>
    <row r="65" spans="1:5" x14ac:dyDescent="0.3">
      <c r="A65" s="48"/>
      <c r="B65">
        <v>2</v>
      </c>
      <c r="C65" s="33">
        <v>0.31818181818181812</v>
      </c>
      <c r="D65">
        <v>0.6</v>
      </c>
      <c r="E65" s="39">
        <v>5.7426342234952604E-2</v>
      </c>
    </row>
    <row r="66" spans="1:5" x14ac:dyDescent="0.3">
      <c r="A66" s="48"/>
      <c r="B66">
        <v>3</v>
      </c>
      <c r="C66" s="33">
        <v>0.81818181818181812</v>
      </c>
      <c r="D66">
        <v>0.6</v>
      </c>
      <c r="E66" s="39">
        <v>3.0541130295974109E-2</v>
      </c>
    </row>
    <row r="67" spans="1:5" x14ac:dyDescent="0.3">
      <c r="A67" s="48"/>
      <c r="B67">
        <v>4</v>
      </c>
      <c r="C67" s="33">
        <v>0.36363636363636365</v>
      </c>
      <c r="D67">
        <v>0.6</v>
      </c>
      <c r="E67" s="39">
        <v>4.5253016231229903E-2</v>
      </c>
    </row>
    <row r="68" spans="1:5" x14ac:dyDescent="0.3">
      <c r="A68" s="48"/>
      <c r="B68">
        <v>5</v>
      </c>
      <c r="C68" s="33">
        <v>0.56818181818181812</v>
      </c>
      <c r="D68">
        <v>0.8</v>
      </c>
      <c r="E68" s="39">
        <v>2.4040502717496644E-2</v>
      </c>
    </row>
    <row r="69" spans="1:5" x14ac:dyDescent="0.3">
      <c r="A69" s="47" t="s">
        <v>12</v>
      </c>
      <c r="B69" s="4">
        <v>1</v>
      </c>
      <c r="C69" s="32">
        <v>0.77272727272727271</v>
      </c>
      <c r="D69" s="4">
        <v>0.8</v>
      </c>
      <c r="E69" s="38">
        <v>2.1038682984694617E-2</v>
      </c>
    </row>
    <row r="70" spans="1:5" x14ac:dyDescent="0.3">
      <c r="A70" s="48"/>
      <c r="B70">
        <v>2</v>
      </c>
      <c r="C70" s="33">
        <v>0.63636363636363635</v>
      </c>
      <c r="D70">
        <v>0.8</v>
      </c>
      <c r="E70" s="39">
        <v>8.4127884653956118E-3</v>
      </c>
    </row>
    <row r="71" spans="1:5" x14ac:dyDescent="0.3">
      <c r="A71" s="48"/>
      <c r="B71">
        <v>3</v>
      </c>
      <c r="C71" s="33">
        <v>0.54545454545454541</v>
      </c>
      <c r="D71">
        <v>0.4</v>
      </c>
      <c r="E71" s="39">
        <v>4.4283704378051784E-2</v>
      </c>
    </row>
    <row r="72" spans="1:5" x14ac:dyDescent="0.3">
      <c r="A72" s="48"/>
      <c r="B72">
        <v>4</v>
      </c>
      <c r="C72" s="33">
        <v>0.63636363636363635</v>
      </c>
      <c r="D72">
        <v>0.4</v>
      </c>
      <c r="E72" s="39">
        <v>3.0463850107978221E-2</v>
      </c>
    </row>
    <row r="73" spans="1:5" x14ac:dyDescent="0.3">
      <c r="A73" s="48"/>
      <c r="B73">
        <v>5</v>
      </c>
      <c r="C73" s="33">
        <v>0.81818181818181812</v>
      </c>
      <c r="D73">
        <v>0.8</v>
      </c>
      <c r="E73" s="39">
        <v>1.1352459616595638E-2</v>
      </c>
    </row>
    <row r="74" spans="1:5" x14ac:dyDescent="0.3">
      <c r="A74" s="48"/>
      <c r="B74">
        <v>6</v>
      </c>
      <c r="C74" s="33">
        <v>0.72727272727272718</v>
      </c>
      <c r="D74">
        <v>0.8</v>
      </c>
      <c r="E74" s="39">
        <v>1.8302758706080179E-2</v>
      </c>
    </row>
    <row r="75" spans="1:5" x14ac:dyDescent="0.3">
      <c r="A75" s="48"/>
      <c r="B75">
        <v>7</v>
      </c>
      <c r="C75" s="33">
        <v>0.74999999999999989</v>
      </c>
      <c r="D75">
        <v>0.6</v>
      </c>
      <c r="E75" s="39">
        <v>2.6887404355094933E-2</v>
      </c>
    </row>
    <row r="76" spans="1:5" x14ac:dyDescent="0.3">
      <c r="A76" s="48"/>
      <c r="B76">
        <v>8</v>
      </c>
      <c r="C76" s="33">
        <v>0.72727272727272718</v>
      </c>
      <c r="D76">
        <v>0.6</v>
      </c>
      <c r="E76" s="39">
        <v>2.0756786494060205E-2</v>
      </c>
    </row>
    <row r="77" spans="1:5" x14ac:dyDescent="0.3">
      <c r="A77" s="48"/>
      <c r="B77">
        <v>9</v>
      </c>
      <c r="C77" s="33">
        <v>0.43181818181818182</v>
      </c>
      <c r="D77">
        <v>0.8</v>
      </c>
      <c r="E77" s="39">
        <v>2.4040502717496644E-2</v>
      </c>
    </row>
    <row r="78" spans="1:5" x14ac:dyDescent="0.3">
      <c r="A78" s="48"/>
      <c r="B78">
        <v>10</v>
      </c>
      <c r="C78" s="33">
        <v>0.68181818181818177</v>
      </c>
      <c r="D78">
        <v>0.6</v>
      </c>
      <c r="E78" s="39">
        <v>1.858588521301056E-2</v>
      </c>
    </row>
    <row r="79" spans="1:5" x14ac:dyDescent="0.3">
      <c r="A79" s="47" t="s">
        <v>13</v>
      </c>
      <c r="B79" s="4">
        <v>1</v>
      </c>
      <c r="C79" s="32">
        <v>0.84090909090909072</v>
      </c>
      <c r="D79" s="4">
        <v>0.8</v>
      </c>
      <c r="E79" s="38">
        <v>2.1038682984694617E-2</v>
      </c>
    </row>
    <row r="80" spans="1:5" x14ac:dyDescent="0.3">
      <c r="A80" s="48"/>
      <c r="B80">
        <v>2</v>
      </c>
      <c r="C80" s="33">
        <v>0.65909090909090895</v>
      </c>
      <c r="D80">
        <v>0.8</v>
      </c>
      <c r="E80" s="39">
        <v>8.4127884653956118E-3</v>
      </c>
    </row>
    <row r="81" spans="1:5" x14ac:dyDescent="0.3">
      <c r="A81" s="48"/>
      <c r="B81">
        <v>3</v>
      </c>
      <c r="C81" s="33">
        <v>0.65909090909090895</v>
      </c>
      <c r="D81">
        <v>0.6</v>
      </c>
      <c r="E81" s="39">
        <v>9.3505257709753844E-3</v>
      </c>
    </row>
    <row r="82" spans="1:5" x14ac:dyDescent="0.3">
      <c r="A82" s="48"/>
      <c r="B82">
        <v>4</v>
      </c>
      <c r="C82" s="33">
        <v>0.56818181818181812</v>
      </c>
      <c r="D82">
        <v>0.8</v>
      </c>
      <c r="E82" s="39">
        <v>2.4495009406041435E-2</v>
      </c>
    </row>
    <row r="83" spans="1:5" x14ac:dyDescent="0.3">
      <c r="A83" s="48"/>
      <c r="B83">
        <v>5</v>
      </c>
      <c r="C83" s="33">
        <v>0.54545454545454541</v>
      </c>
      <c r="D83">
        <v>0.8</v>
      </c>
      <c r="E83" s="39">
        <v>1.059180176617899E-2</v>
      </c>
    </row>
    <row r="84" spans="1:5" x14ac:dyDescent="0.3">
      <c r="A84" s="48"/>
      <c r="B84">
        <v>6</v>
      </c>
      <c r="C84" s="33">
        <v>0.74999999999999989</v>
      </c>
      <c r="D84">
        <v>0.8</v>
      </c>
      <c r="E84" s="39">
        <v>1.1352459616595638E-2</v>
      </c>
    </row>
    <row r="85" spans="1:5" x14ac:dyDescent="0.3">
      <c r="A85" s="48"/>
      <c r="B85">
        <v>7</v>
      </c>
      <c r="C85" s="33">
        <v>0.5</v>
      </c>
      <c r="D85">
        <v>0.8</v>
      </c>
      <c r="E85" s="39">
        <v>1.8302758706080179E-2</v>
      </c>
    </row>
    <row r="86" spans="1:5" x14ac:dyDescent="0.3">
      <c r="A86" s="48"/>
      <c r="B86">
        <v>8</v>
      </c>
      <c r="C86" s="33">
        <v>0.70454545454545447</v>
      </c>
      <c r="D86">
        <v>0.8</v>
      </c>
      <c r="E86" s="39">
        <v>1.64075263528436E-2</v>
      </c>
    </row>
    <row r="87" spans="1:5" x14ac:dyDescent="0.3">
      <c r="A87" s="48"/>
      <c r="B87">
        <v>9</v>
      </c>
      <c r="C87" s="33">
        <v>0.81818181818181812</v>
      </c>
      <c r="D87">
        <v>0.6</v>
      </c>
      <c r="E87" s="39">
        <v>2.4412811387900357E-2</v>
      </c>
    </row>
    <row r="88" spans="1:5" x14ac:dyDescent="0.3">
      <c r="A88" s="48"/>
      <c r="B88">
        <v>10</v>
      </c>
      <c r="C88" s="33">
        <v>0.5</v>
      </c>
      <c r="D88">
        <v>0.4</v>
      </c>
      <c r="E88" s="39">
        <v>2.1890630094413575E-2</v>
      </c>
    </row>
    <row r="89" spans="1:5" x14ac:dyDescent="0.3">
      <c r="A89" s="48"/>
      <c r="B89">
        <v>11</v>
      </c>
      <c r="C89" s="33">
        <v>0.63636363636363635</v>
      </c>
      <c r="D89">
        <v>0.6</v>
      </c>
      <c r="E89" s="39">
        <v>1.415235442776832E-2</v>
      </c>
    </row>
    <row r="90" spans="1:5" x14ac:dyDescent="0.3">
      <c r="A90" s="48"/>
      <c r="B90">
        <v>12</v>
      </c>
      <c r="C90" s="33">
        <v>0.22727272727272724</v>
      </c>
      <c r="D90">
        <v>1</v>
      </c>
      <c r="E90" s="39">
        <v>2.4040502717496644E-2</v>
      </c>
    </row>
    <row r="91" spans="1:5" x14ac:dyDescent="0.3">
      <c r="A91" s="48"/>
      <c r="B91">
        <v>13</v>
      </c>
      <c r="C91" s="33">
        <v>0.93181818181818188</v>
      </c>
      <c r="D91">
        <v>0.6</v>
      </c>
      <c r="E91" s="39">
        <v>8.6244689803408655E-3</v>
      </c>
    </row>
    <row r="92" spans="1:5" x14ac:dyDescent="0.3">
      <c r="A92" s="48"/>
      <c r="B92">
        <v>14</v>
      </c>
      <c r="C92" s="33">
        <v>0.68181818181818177</v>
      </c>
      <c r="D92">
        <v>0.6</v>
      </c>
      <c r="E92" s="39">
        <v>1.858588521301056E-2</v>
      </c>
    </row>
    <row r="93" spans="1:5" x14ac:dyDescent="0.3">
      <c r="A93" s="48"/>
      <c r="B93">
        <v>15</v>
      </c>
      <c r="C93" s="33">
        <v>0.72727272727272718</v>
      </c>
      <c r="D93">
        <v>0.6</v>
      </c>
      <c r="E93" s="39">
        <v>9.7651245551601418E-3</v>
      </c>
    </row>
    <row r="94" spans="1:5" x14ac:dyDescent="0.3">
      <c r="A94" s="47" t="s">
        <v>16</v>
      </c>
      <c r="B94" s="4">
        <v>1</v>
      </c>
      <c r="C94" s="32">
        <v>0.15909090909090906</v>
      </c>
      <c r="D94" s="4">
        <v>0.6</v>
      </c>
      <c r="E94" s="38">
        <v>8.0942032423882954E-2</v>
      </c>
    </row>
    <row r="95" spans="1:5" x14ac:dyDescent="0.3">
      <c r="A95" s="48"/>
      <c r="B95">
        <v>2</v>
      </c>
      <c r="C95" s="33">
        <v>0.34090909090909088</v>
      </c>
      <c r="D95">
        <v>0.6</v>
      </c>
      <c r="E95" s="39">
        <v>5.0706313430868587E-2</v>
      </c>
    </row>
    <row r="96" spans="1:5" x14ac:dyDescent="0.3">
      <c r="A96" s="48"/>
      <c r="B96">
        <v>3</v>
      </c>
      <c r="C96" s="33">
        <v>0.45454545454545447</v>
      </c>
      <c r="D96">
        <v>0.6</v>
      </c>
      <c r="E96" s="39">
        <v>2.516198761038619E-2</v>
      </c>
    </row>
    <row r="97" spans="1:5" x14ac:dyDescent="0.3">
      <c r="A97" s="48"/>
      <c r="B97">
        <v>4</v>
      </c>
      <c r="C97" s="33">
        <v>0</v>
      </c>
      <c r="D97">
        <v>0.8</v>
      </c>
      <c r="E97" s="39">
        <v>3.1687335993385815E-2</v>
      </c>
    </row>
    <row r="98" spans="1:5" x14ac:dyDescent="0.3">
      <c r="A98" s="48"/>
      <c r="B98">
        <v>5</v>
      </c>
      <c r="C98" s="33">
        <v>0.43181818181818182</v>
      </c>
      <c r="D98">
        <v>0.2</v>
      </c>
      <c r="E98" s="39">
        <v>1.085013839462238E-2</v>
      </c>
    </row>
    <row r="99" spans="1:5" x14ac:dyDescent="0.3">
      <c r="A99" s="47" t="s">
        <v>17</v>
      </c>
      <c r="B99" s="4">
        <v>1</v>
      </c>
      <c r="C99" s="32">
        <v>0.40909090909090906</v>
      </c>
      <c r="D99" s="4">
        <v>0.8</v>
      </c>
      <c r="E99" s="38">
        <v>5.1631693050272029E-2</v>
      </c>
    </row>
    <row r="100" spans="1:5" x14ac:dyDescent="0.3">
      <c r="A100" s="48"/>
      <c r="B100">
        <v>2</v>
      </c>
      <c r="C100" s="33">
        <v>0.59090909090909083</v>
      </c>
      <c r="D100">
        <v>0.6</v>
      </c>
      <c r="E100" s="39">
        <v>5.0706313430868587E-2</v>
      </c>
    </row>
    <row r="101" spans="1:5" x14ac:dyDescent="0.3">
      <c r="A101" s="48"/>
      <c r="B101">
        <v>3</v>
      </c>
      <c r="C101" s="33">
        <v>0.47727272727272724</v>
      </c>
      <c r="D101">
        <v>0.6</v>
      </c>
      <c r="E101" s="39">
        <v>2.516198761038619E-2</v>
      </c>
    </row>
    <row r="102" spans="1:5" x14ac:dyDescent="0.3">
      <c r="A102" s="48"/>
      <c r="B102">
        <v>4</v>
      </c>
      <c r="C102" s="33">
        <v>0.13636363636363635</v>
      </c>
      <c r="D102">
        <v>0.4</v>
      </c>
      <c r="E102" s="39">
        <v>2.0453134445035291E-2</v>
      </c>
    </row>
    <row r="103" spans="1:5" x14ac:dyDescent="0.3">
      <c r="A103" s="48"/>
      <c r="B103">
        <v>5</v>
      </c>
      <c r="C103" s="33">
        <v>0.59090909090909083</v>
      </c>
      <c r="D103">
        <v>0.6</v>
      </c>
      <c r="E103" s="39">
        <v>1.5704147676427128E-2</v>
      </c>
    </row>
    <row r="104" spans="1:5" x14ac:dyDescent="0.3">
      <c r="A104" s="48"/>
      <c r="B104">
        <v>6</v>
      </c>
      <c r="C104" s="33">
        <v>0.34090909090909088</v>
      </c>
      <c r="D104">
        <v>0.8</v>
      </c>
      <c r="E104" s="39">
        <v>2.3972314316323809E-2</v>
      </c>
    </row>
    <row r="105" spans="1:5" x14ac:dyDescent="0.3">
      <c r="A105" s="48"/>
      <c r="B105">
        <v>7</v>
      </c>
      <c r="C105" s="33">
        <v>0.63636363636363635</v>
      </c>
      <c r="D105">
        <v>0.6</v>
      </c>
      <c r="E105" s="39">
        <v>1.4725187821273231E-2</v>
      </c>
    </row>
    <row r="106" spans="1:5" x14ac:dyDescent="0.3">
      <c r="A106" s="48"/>
      <c r="B106">
        <v>8</v>
      </c>
      <c r="C106" s="33">
        <v>0.59090909090909083</v>
      </c>
      <c r="D106">
        <v>0.8</v>
      </c>
      <c r="E106" s="39">
        <v>8.7834453670752599E-3</v>
      </c>
    </row>
    <row r="107" spans="1:5" x14ac:dyDescent="0.3">
      <c r="A107" s="48"/>
      <c r="B107">
        <v>9</v>
      </c>
      <c r="C107" s="33">
        <v>0.40909090909090906</v>
      </c>
      <c r="D107">
        <v>0.8</v>
      </c>
      <c r="E107" s="39">
        <v>9.0417819955186506E-3</v>
      </c>
    </row>
    <row r="108" spans="1:5" x14ac:dyDescent="0.3">
      <c r="A108" s="48"/>
      <c r="B108">
        <v>10</v>
      </c>
      <c r="C108" s="33">
        <v>0.5227272727272726</v>
      </c>
      <c r="D108">
        <v>0.4</v>
      </c>
      <c r="E108" s="39">
        <v>1.085013839462238E-2</v>
      </c>
    </row>
    <row r="109" spans="1:5" x14ac:dyDescent="0.3">
      <c r="A109" s="47" t="s">
        <v>18</v>
      </c>
      <c r="B109" s="4">
        <v>1</v>
      </c>
      <c r="C109" s="32">
        <v>0.45454545454545447</v>
      </c>
      <c r="D109" s="4">
        <v>0.6</v>
      </c>
      <c r="E109" s="38">
        <v>5.1631693050272029E-2</v>
      </c>
    </row>
    <row r="110" spans="1:5" x14ac:dyDescent="0.3">
      <c r="A110" s="48"/>
      <c r="B110">
        <v>2</v>
      </c>
      <c r="C110" s="33">
        <v>0.45454545454545447</v>
      </c>
      <c r="D110">
        <v>0.6</v>
      </c>
      <c r="E110" s="39">
        <v>5.0633979174904441E-2</v>
      </c>
    </row>
    <row r="111" spans="1:5" x14ac:dyDescent="0.3">
      <c r="A111" s="48"/>
      <c r="B111">
        <v>3</v>
      </c>
      <c r="C111" s="33">
        <v>0.56818181818181812</v>
      </c>
      <c r="D111">
        <v>0.8</v>
      </c>
      <c r="E111" s="39">
        <v>1.3803787179825141E-2</v>
      </c>
    </row>
    <row r="112" spans="1:5" x14ac:dyDescent="0.3">
      <c r="A112" s="48"/>
      <c r="B112">
        <v>4</v>
      </c>
      <c r="C112" s="33">
        <v>0.88636363636363624</v>
      </c>
      <c r="D112">
        <v>0.8</v>
      </c>
      <c r="E112" s="39">
        <v>1.085013839462238E-2</v>
      </c>
    </row>
    <row r="113" spans="1:5" x14ac:dyDescent="0.3">
      <c r="A113" s="48"/>
      <c r="B113">
        <v>5</v>
      </c>
      <c r="C113" s="33">
        <v>0.93181818181818188</v>
      </c>
      <c r="D113">
        <v>0.8</v>
      </c>
      <c r="E113" s="39">
        <v>1.3411976626685999E-2</v>
      </c>
    </row>
    <row r="114" spans="1:5" x14ac:dyDescent="0.3">
      <c r="A114" s="48"/>
      <c r="B114">
        <v>6</v>
      </c>
      <c r="C114" s="33">
        <v>0.93181818181818188</v>
      </c>
      <c r="D114">
        <v>0.8</v>
      </c>
      <c r="E114" s="39">
        <v>1.5704147676427128E-2</v>
      </c>
    </row>
    <row r="115" spans="1:5" x14ac:dyDescent="0.3">
      <c r="A115" s="48"/>
      <c r="B115">
        <v>7</v>
      </c>
      <c r="C115" s="33">
        <v>0.54545454545454541</v>
      </c>
      <c r="D115">
        <v>0.8</v>
      </c>
      <c r="E115" s="39">
        <v>2.3972314316323809E-2</v>
      </c>
    </row>
    <row r="116" spans="1:5" x14ac:dyDescent="0.3">
      <c r="A116" s="48"/>
      <c r="B116">
        <v>8</v>
      </c>
      <c r="C116" s="33">
        <v>0.84090909090909072</v>
      </c>
      <c r="D116">
        <v>0.8</v>
      </c>
      <c r="E116" s="39">
        <v>1.2457566304936808E-2</v>
      </c>
    </row>
    <row r="117" spans="1:5" x14ac:dyDescent="0.3">
      <c r="A117" s="48"/>
      <c r="B117">
        <v>9</v>
      </c>
      <c r="C117" s="33">
        <v>0.72727272727272718</v>
      </c>
      <c r="D117">
        <v>0.8</v>
      </c>
      <c r="E117" s="39">
        <v>1.0247352928254471E-2</v>
      </c>
    </row>
    <row r="118" spans="1:5" x14ac:dyDescent="0.3">
      <c r="A118" s="48"/>
      <c r="B118">
        <v>10</v>
      </c>
      <c r="C118" s="33">
        <v>0.72727272727272718</v>
      </c>
      <c r="D118">
        <v>0.6</v>
      </c>
      <c r="E118" s="39">
        <v>1.0333465137735599E-2</v>
      </c>
    </row>
    <row r="119" spans="1:5" x14ac:dyDescent="0.3">
      <c r="A119" s="48"/>
      <c r="B119">
        <v>11</v>
      </c>
      <c r="C119" s="33">
        <v>0.86363636363636365</v>
      </c>
      <c r="D119">
        <v>0.8</v>
      </c>
      <c r="E119" s="39">
        <v>1.4725187821273231E-2</v>
      </c>
    </row>
    <row r="120" spans="1:5" x14ac:dyDescent="0.3">
      <c r="A120" s="48"/>
      <c r="B120">
        <v>12</v>
      </c>
      <c r="C120" s="33">
        <v>0.59090909090909083</v>
      </c>
      <c r="D120">
        <v>0.8</v>
      </c>
      <c r="E120" s="39">
        <v>8.7834453670752599E-3</v>
      </c>
    </row>
    <row r="121" spans="1:5" x14ac:dyDescent="0.3">
      <c r="A121" s="48"/>
      <c r="B121">
        <v>13</v>
      </c>
      <c r="C121" s="33">
        <v>0.63636363636363635</v>
      </c>
      <c r="D121">
        <v>0.8</v>
      </c>
      <c r="E121" s="39">
        <v>9.0417819955186506E-3</v>
      </c>
    </row>
    <row r="122" spans="1:5" x14ac:dyDescent="0.3">
      <c r="A122" s="48"/>
      <c r="B122">
        <v>14</v>
      </c>
      <c r="C122" s="33">
        <v>0.77272727272727271</v>
      </c>
      <c r="D122">
        <v>0.6</v>
      </c>
      <c r="E122" s="39">
        <v>1.085013839462238E-2</v>
      </c>
    </row>
    <row r="123" spans="1:5" x14ac:dyDescent="0.3">
      <c r="A123" s="48"/>
      <c r="B123">
        <v>15</v>
      </c>
      <c r="C123" s="33">
        <v>0.97727272727272707</v>
      </c>
      <c r="D123">
        <v>0.4</v>
      </c>
      <c r="E123" s="39">
        <v>0</v>
      </c>
    </row>
    <row r="124" spans="1:5" x14ac:dyDescent="0.3">
      <c r="A124" s="47" t="s">
        <v>19</v>
      </c>
      <c r="B124" s="4">
        <v>1</v>
      </c>
      <c r="C124" s="32">
        <v>0.20454545454545453</v>
      </c>
      <c r="D124" s="4">
        <v>0.4</v>
      </c>
      <c r="E124" s="38">
        <v>2.3296428100698562E-2</v>
      </c>
    </row>
    <row r="125" spans="1:5" x14ac:dyDescent="0.3">
      <c r="A125" s="48"/>
      <c r="B125">
        <v>2</v>
      </c>
      <c r="C125" s="33">
        <v>0.36363636363636365</v>
      </c>
      <c r="D125">
        <v>0.6</v>
      </c>
      <c r="E125" s="39">
        <v>6.8166135572457542E-2</v>
      </c>
    </row>
    <row r="126" spans="1:5" x14ac:dyDescent="0.3">
      <c r="A126" s="48"/>
      <c r="B126">
        <v>3</v>
      </c>
      <c r="C126" s="33">
        <v>0.29545454545454547</v>
      </c>
      <c r="D126">
        <v>0.6</v>
      </c>
      <c r="E126" s="39">
        <v>2.6525635956240936E-2</v>
      </c>
    </row>
    <row r="127" spans="1:5" x14ac:dyDescent="0.3">
      <c r="A127" s="48"/>
      <c r="B127">
        <v>4</v>
      </c>
      <c r="C127" s="33">
        <v>0.31818181818181812</v>
      </c>
      <c r="D127">
        <v>0.8</v>
      </c>
      <c r="E127" s="39">
        <v>1.7462475929622873E-2</v>
      </c>
    </row>
    <row r="128" spans="1:5" x14ac:dyDescent="0.3">
      <c r="A128" s="48"/>
      <c r="B128">
        <v>5</v>
      </c>
      <c r="C128" s="33">
        <v>0.31818181818181812</v>
      </c>
      <c r="D128">
        <v>0.6</v>
      </c>
      <c r="E128" s="39">
        <v>4.2794365502020523E-2</v>
      </c>
    </row>
    <row r="129" spans="1:5" x14ac:dyDescent="0.3">
      <c r="A129" s="47" t="s">
        <v>20</v>
      </c>
      <c r="B129" s="4">
        <v>1</v>
      </c>
      <c r="C129" s="32">
        <v>0.77272727272727271</v>
      </c>
      <c r="D129" s="4">
        <v>0.8</v>
      </c>
      <c r="E129" s="38">
        <v>1.6465411483205076E-2</v>
      </c>
    </row>
    <row r="130" spans="1:5" x14ac:dyDescent="0.3">
      <c r="A130" s="48"/>
      <c r="B130">
        <v>2</v>
      </c>
      <c r="C130" s="33">
        <v>0.63636363636363635</v>
      </c>
      <c r="D130">
        <v>0.8</v>
      </c>
      <c r="E130" s="39">
        <v>1.3849382999499711E-2</v>
      </c>
    </row>
    <row r="131" spans="1:5" x14ac:dyDescent="0.3">
      <c r="A131" s="48"/>
      <c r="B131">
        <v>3</v>
      </c>
      <c r="C131" s="33">
        <v>0.45454545454545447</v>
      </c>
      <c r="D131">
        <v>0.6</v>
      </c>
      <c r="E131" s="39">
        <v>1.99288256227758E-2</v>
      </c>
    </row>
    <row r="132" spans="1:5" x14ac:dyDescent="0.3">
      <c r="A132" s="48"/>
      <c r="B132">
        <v>4</v>
      </c>
      <c r="C132" s="33">
        <v>0.43181818181818182</v>
      </c>
      <c r="D132">
        <v>0.6</v>
      </c>
      <c r="E132" s="39">
        <v>3.1738500065902196E-2</v>
      </c>
    </row>
    <row r="133" spans="1:5" x14ac:dyDescent="0.3">
      <c r="A133" s="48"/>
      <c r="B133">
        <v>5</v>
      </c>
      <c r="C133" s="33">
        <v>0.86363636363636365</v>
      </c>
      <c r="D133">
        <v>0.8</v>
      </c>
      <c r="E133" s="39">
        <v>1.3732179585030696E-2</v>
      </c>
    </row>
    <row r="134" spans="1:5" x14ac:dyDescent="0.3">
      <c r="A134" s="48"/>
      <c r="B134">
        <v>6</v>
      </c>
      <c r="C134" s="33">
        <v>0.5227272727272726</v>
      </c>
      <c r="D134">
        <v>0.6</v>
      </c>
      <c r="E134" s="39">
        <v>1.7033184292970769E-2</v>
      </c>
    </row>
    <row r="135" spans="1:5" x14ac:dyDescent="0.3">
      <c r="A135" s="48"/>
      <c r="B135">
        <v>7</v>
      </c>
      <c r="C135" s="33">
        <v>0.7954545454545453</v>
      </c>
      <c r="D135">
        <v>0.6</v>
      </c>
      <c r="E135" s="39">
        <v>8.4882035059970998E-3</v>
      </c>
    </row>
    <row r="136" spans="1:5" x14ac:dyDescent="0.3">
      <c r="A136" s="48"/>
      <c r="B136">
        <v>8</v>
      </c>
      <c r="C136" s="33">
        <v>0.45454545454545447</v>
      </c>
      <c r="D136">
        <v>0.8</v>
      </c>
      <c r="E136" s="39">
        <v>1.7462475929622873E-2</v>
      </c>
    </row>
    <row r="137" spans="1:5" x14ac:dyDescent="0.3">
      <c r="A137" s="48"/>
      <c r="B137">
        <v>9</v>
      </c>
      <c r="C137" s="33">
        <v>0.56818181818181812</v>
      </c>
      <c r="D137">
        <v>0.8</v>
      </c>
      <c r="E137" s="39">
        <v>2.8032272448112534E-2</v>
      </c>
    </row>
    <row r="138" spans="1:5" x14ac:dyDescent="0.3">
      <c r="A138" s="48"/>
      <c r="B138">
        <v>10</v>
      </c>
      <c r="C138" s="33">
        <v>0.5227272727272726</v>
      </c>
      <c r="D138">
        <v>0.2</v>
      </c>
      <c r="E138" s="39">
        <v>1.8258378250886213E-2</v>
      </c>
    </row>
    <row r="139" spans="1:5" x14ac:dyDescent="0.3">
      <c r="A139" s="47" t="s">
        <v>21</v>
      </c>
      <c r="B139" s="4">
        <v>1</v>
      </c>
      <c r="C139" s="32">
        <v>0.90909090909090895</v>
      </c>
      <c r="D139" s="4">
        <v>0.8</v>
      </c>
      <c r="E139" s="38">
        <v>1.6465411483205076E-2</v>
      </c>
    </row>
    <row r="140" spans="1:5" x14ac:dyDescent="0.3">
      <c r="A140" s="48"/>
      <c r="B140">
        <v>2</v>
      </c>
      <c r="C140" s="33">
        <v>0.61363636363636354</v>
      </c>
      <c r="D140">
        <v>0.8</v>
      </c>
      <c r="E140" s="39">
        <v>8.3875528715386376E-3</v>
      </c>
    </row>
    <row r="141" spans="1:5" x14ac:dyDescent="0.3">
      <c r="A141" s="48"/>
      <c r="B141">
        <v>3</v>
      </c>
      <c r="C141" s="33">
        <v>0.88636363636363624</v>
      </c>
      <c r="D141">
        <v>0.6</v>
      </c>
      <c r="E141" s="39">
        <v>1.1643341000265466E-2</v>
      </c>
    </row>
    <row r="142" spans="1:5" x14ac:dyDescent="0.3">
      <c r="A142" s="48"/>
      <c r="B142">
        <v>4</v>
      </c>
      <c r="C142" s="33">
        <v>0.5227272727272726</v>
      </c>
      <c r="D142">
        <v>0.6</v>
      </c>
      <c r="E142" s="39">
        <v>1.383946223803875E-2</v>
      </c>
    </row>
    <row r="143" spans="1:5" x14ac:dyDescent="0.3">
      <c r="A143" s="48"/>
      <c r="B143">
        <v>5</v>
      </c>
      <c r="C143" s="33">
        <v>0.77272727272727271</v>
      </c>
      <c r="D143">
        <v>0.6</v>
      </c>
      <c r="E143" s="39">
        <v>1.3732179585030696E-2</v>
      </c>
    </row>
    <row r="144" spans="1:5" x14ac:dyDescent="0.3">
      <c r="A144" s="48"/>
      <c r="B144">
        <v>6</v>
      </c>
      <c r="C144" s="33">
        <v>0.3863636363636363</v>
      </c>
      <c r="D144">
        <v>0.6</v>
      </c>
      <c r="E144" s="39">
        <v>1.8812667367480319E-2</v>
      </c>
    </row>
    <row r="145" spans="1:5" x14ac:dyDescent="0.3">
      <c r="A145" s="48"/>
      <c r="B145">
        <v>7</v>
      </c>
      <c r="C145" s="33">
        <v>0.72727272727272718</v>
      </c>
      <c r="D145">
        <v>0.8</v>
      </c>
      <c r="E145" s="39">
        <v>7.9277907141357771E-3</v>
      </c>
    </row>
    <row r="146" spans="1:5" x14ac:dyDescent="0.3">
      <c r="A146" s="48"/>
      <c r="B146">
        <v>8</v>
      </c>
      <c r="C146" s="33">
        <v>0.61363636363636354</v>
      </c>
      <c r="D146">
        <v>0.6</v>
      </c>
      <c r="E146" s="39">
        <v>8.4882035059970998E-3</v>
      </c>
    </row>
    <row r="147" spans="1:5" x14ac:dyDescent="0.3">
      <c r="A147" s="48"/>
      <c r="B147">
        <v>9</v>
      </c>
      <c r="C147" s="33">
        <v>0.47727272727272724</v>
      </c>
      <c r="D147">
        <v>0.6</v>
      </c>
      <c r="E147" s="39">
        <v>9.3613273024782465E-3</v>
      </c>
    </row>
    <row r="148" spans="1:5" x14ac:dyDescent="0.3">
      <c r="A148" s="48"/>
      <c r="B148">
        <v>10</v>
      </c>
      <c r="C148" s="33">
        <v>0.27272727272727271</v>
      </c>
      <c r="D148">
        <v>1</v>
      </c>
      <c r="E148" s="39">
        <v>1.7462475929622873E-2</v>
      </c>
    </row>
    <row r="149" spans="1:5" x14ac:dyDescent="0.3">
      <c r="A149" s="48"/>
      <c r="B149">
        <v>11</v>
      </c>
      <c r="C149" s="33">
        <v>0.61363636363636354</v>
      </c>
      <c r="D149">
        <v>0.6</v>
      </c>
      <c r="E149" s="39">
        <v>1.8594559519826422E-2</v>
      </c>
    </row>
    <row r="150" spans="1:5" x14ac:dyDescent="0.3">
      <c r="A150" s="48"/>
      <c r="B150">
        <v>12</v>
      </c>
      <c r="C150" s="33">
        <v>0.54545454545454541</v>
      </c>
      <c r="D150">
        <v>0.6</v>
      </c>
      <c r="E150" s="39">
        <v>1.3032160274153156E-2</v>
      </c>
    </row>
    <row r="151" spans="1:5" x14ac:dyDescent="0.3">
      <c r="A151" s="48"/>
      <c r="B151">
        <v>13</v>
      </c>
      <c r="C151" s="33">
        <v>0.3863636363636363</v>
      </c>
      <c r="D151">
        <v>0.4</v>
      </c>
      <c r="E151" s="39">
        <v>1.8258378250886213E-2</v>
      </c>
    </row>
    <row r="152" spans="1:5" x14ac:dyDescent="0.3">
      <c r="A152" s="48"/>
      <c r="B152">
        <v>14</v>
      </c>
      <c r="C152" s="33">
        <v>0.5227272727272726</v>
      </c>
      <c r="D152">
        <v>0.4</v>
      </c>
      <c r="E152" s="39">
        <v>6.4584157110847504E-3</v>
      </c>
    </row>
    <row r="153" spans="1:5" x14ac:dyDescent="0.3">
      <c r="A153" s="48"/>
      <c r="B153">
        <v>15</v>
      </c>
      <c r="C153" s="33">
        <v>0.68181818181818177</v>
      </c>
      <c r="D153">
        <v>0.4</v>
      </c>
      <c r="E153" s="39">
        <v>1.9682790738543999E-2</v>
      </c>
    </row>
    <row r="154" spans="1:5" x14ac:dyDescent="0.3">
      <c r="A154" s="47" t="s">
        <v>22</v>
      </c>
      <c r="B154" s="4">
        <v>1</v>
      </c>
      <c r="C154" s="32">
        <v>9.0909090909090884E-2</v>
      </c>
      <c r="D154" s="4">
        <v>0.6</v>
      </c>
      <c r="E154" s="38">
        <v>3.7007747169866594E-2</v>
      </c>
    </row>
    <row r="155" spans="1:5" x14ac:dyDescent="0.3">
      <c r="A155" s="48"/>
      <c r="B155">
        <v>2</v>
      </c>
      <c r="C155" s="33">
        <v>0.11363636363636365</v>
      </c>
      <c r="D155">
        <v>0.6</v>
      </c>
      <c r="E155" s="39">
        <v>0.20519309344932121</v>
      </c>
    </row>
    <row r="156" spans="1:5" x14ac:dyDescent="0.3">
      <c r="A156" s="48"/>
      <c r="B156">
        <v>3</v>
      </c>
      <c r="C156" s="33">
        <v>0.5</v>
      </c>
      <c r="D156">
        <v>0.6</v>
      </c>
      <c r="E156" s="39">
        <v>1.5019571421127326E-2</v>
      </c>
    </row>
    <row r="157" spans="1:5" x14ac:dyDescent="0.3">
      <c r="A157" s="48"/>
      <c r="B157">
        <v>4</v>
      </c>
      <c r="C157" s="33">
        <v>0.27272727272727271</v>
      </c>
      <c r="D157">
        <v>1</v>
      </c>
      <c r="E157" s="39">
        <v>1.7902963916441618E-2</v>
      </c>
    </row>
    <row r="158" spans="1:5" x14ac:dyDescent="0.3">
      <c r="A158" s="48"/>
      <c r="B158">
        <v>5</v>
      </c>
      <c r="C158" s="33">
        <v>0.5</v>
      </c>
      <c r="D158">
        <v>0.8</v>
      </c>
      <c r="E158" s="39">
        <v>8.5165921464853828E-3</v>
      </c>
    </row>
    <row r="159" spans="1:5" x14ac:dyDescent="0.3">
      <c r="A159" s="47" t="s">
        <v>23</v>
      </c>
      <c r="B159" s="4">
        <v>1</v>
      </c>
      <c r="C159" s="32">
        <v>0.29545454545454547</v>
      </c>
      <c r="D159" s="4">
        <v>0.6</v>
      </c>
      <c r="E159" s="38">
        <v>2.4670895241333861E-2</v>
      </c>
    </row>
    <row r="160" spans="1:5" x14ac:dyDescent="0.3">
      <c r="A160" s="48"/>
      <c r="B160">
        <v>2</v>
      </c>
      <c r="C160" s="33">
        <v>0.31818181818181812</v>
      </c>
      <c r="D160">
        <v>0.6</v>
      </c>
      <c r="E160" s="39">
        <v>0.12243853651245551</v>
      </c>
    </row>
    <row r="161" spans="1:5" x14ac:dyDescent="0.3">
      <c r="A161" s="48"/>
      <c r="B161">
        <v>3</v>
      </c>
      <c r="C161" s="33">
        <v>0.34090909090909088</v>
      </c>
      <c r="D161">
        <v>0.4</v>
      </c>
      <c r="E161" s="39">
        <v>7.2813026550678792E-3</v>
      </c>
    </row>
    <row r="162" spans="1:5" x14ac:dyDescent="0.3">
      <c r="A162" s="48"/>
      <c r="B162">
        <v>4</v>
      </c>
      <c r="C162" s="33">
        <v>0.81818181818181812</v>
      </c>
      <c r="D162">
        <v>0.8</v>
      </c>
      <c r="E162" s="39">
        <v>9.3844734419401606E-3</v>
      </c>
    </row>
    <row r="163" spans="1:5" x14ac:dyDescent="0.3">
      <c r="A163" s="48"/>
      <c r="B163">
        <v>5</v>
      </c>
      <c r="C163" s="33">
        <v>0.45454545454545447</v>
      </c>
      <c r="D163">
        <v>0.6</v>
      </c>
      <c r="E163" s="39">
        <v>1.5019571421642283E-2</v>
      </c>
    </row>
    <row r="164" spans="1:5" x14ac:dyDescent="0.3">
      <c r="A164" s="48"/>
      <c r="B164">
        <v>6</v>
      </c>
      <c r="C164" s="33">
        <v>0.25</v>
      </c>
      <c r="D164">
        <v>1</v>
      </c>
      <c r="E164" s="39">
        <v>1.7902963917226837E-2</v>
      </c>
    </row>
    <row r="165" spans="1:5" x14ac:dyDescent="0.3">
      <c r="A165" s="48"/>
      <c r="B165">
        <v>7</v>
      </c>
      <c r="C165" s="33">
        <v>0.59090909090909083</v>
      </c>
      <c r="D165">
        <v>0.6</v>
      </c>
      <c r="E165" s="39">
        <v>1.7573920302622909E-2</v>
      </c>
    </row>
    <row r="166" spans="1:5" x14ac:dyDescent="0.3">
      <c r="A166" s="48"/>
      <c r="B166">
        <v>8</v>
      </c>
      <c r="C166" s="33">
        <v>0.63636363636363635</v>
      </c>
      <c r="D166">
        <v>0.6</v>
      </c>
      <c r="E166" s="39">
        <v>1.3685690434163702E-2</v>
      </c>
    </row>
    <row r="167" spans="1:5" x14ac:dyDescent="0.3">
      <c r="A167" s="48"/>
      <c r="B167">
        <v>9</v>
      </c>
      <c r="C167" s="33">
        <v>6.8181818181818177E-2</v>
      </c>
      <c r="D167">
        <v>0.8</v>
      </c>
      <c r="E167" s="39">
        <v>1.2916831422169501E-2</v>
      </c>
    </row>
    <row r="168" spans="1:5" x14ac:dyDescent="0.3">
      <c r="A168" s="48"/>
      <c r="B168">
        <v>10</v>
      </c>
      <c r="C168" s="33">
        <v>0.5</v>
      </c>
      <c r="D168">
        <v>1</v>
      </c>
      <c r="E168" s="39">
        <v>8.516592147620931E-3</v>
      </c>
    </row>
    <row r="169" spans="1:5" x14ac:dyDescent="0.3">
      <c r="A169" s="47" t="s">
        <v>24</v>
      </c>
      <c r="B169" s="4">
        <v>1</v>
      </c>
      <c r="C169" s="32">
        <v>0.93181818181818188</v>
      </c>
      <c r="D169" s="4">
        <v>0.6</v>
      </c>
      <c r="E169" s="38">
        <v>1.5902800244101751E-2</v>
      </c>
    </row>
    <row r="170" spans="1:5" x14ac:dyDescent="0.3">
      <c r="A170" s="48"/>
      <c r="B170">
        <v>2</v>
      </c>
      <c r="C170" s="33">
        <v>0.54545454545454541</v>
      </c>
      <c r="D170">
        <v>0.8</v>
      </c>
      <c r="E170" s="39">
        <v>1.6008243767497037E-2</v>
      </c>
    </row>
    <row r="171" spans="1:5" x14ac:dyDescent="0.3">
      <c r="A171" s="48"/>
      <c r="B171">
        <v>3</v>
      </c>
      <c r="C171" s="33">
        <v>0.40909090909090906</v>
      </c>
      <c r="D171">
        <v>0.8</v>
      </c>
      <c r="E171" s="39">
        <v>1.5467634267562938E-2</v>
      </c>
    </row>
    <row r="172" spans="1:5" x14ac:dyDescent="0.3">
      <c r="A172" s="48"/>
      <c r="B172">
        <v>4</v>
      </c>
      <c r="C172" s="33">
        <v>0.3863636363636363</v>
      </c>
      <c r="D172">
        <v>0.4</v>
      </c>
      <c r="E172" s="39">
        <v>9.6166519662580722E-3</v>
      </c>
    </row>
    <row r="173" spans="1:5" x14ac:dyDescent="0.3">
      <c r="A173" s="48"/>
      <c r="B173">
        <v>5</v>
      </c>
      <c r="C173" s="33">
        <v>0.65909090909090895</v>
      </c>
      <c r="D173">
        <v>0.2</v>
      </c>
      <c r="E173" s="39">
        <v>7.5860755987873984E-3</v>
      </c>
    </row>
    <row r="174" spans="1:5" x14ac:dyDescent="0.3">
      <c r="A174" s="48"/>
      <c r="B174">
        <v>6</v>
      </c>
      <c r="C174" s="33">
        <v>0.86363636363636365</v>
      </c>
      <c r="D174">
        <v>0.6</v>
      </c>
      <c r="E174" s="39">
        <v>9.3844734419401606E-3</v>
      </c>
    </row>
    <row r="175" spans="1:5" x14ac:dyDescent="0.3">
      <c r="A175" s="48"/>
      <c r="B175">
        <v>7</v>
      </c>
      <c r="C175" s="33">
        <v>0.72727272727272718</v>
      </c>
      <c r="D175">
        <v>0.6</v>
      </c>
      <c r="E175" s="39">
        <v>1.0582464299459601E-2</v>
      </c>
    </row>
    <row r="176" spans="1:5" x14ac:dyDescent="0.3">
      <c r="A176" s="48"/>
      <c r="B176">
        <v>8</v>
      </c>
      <c r="C176" s="33">
        <v>0.61363636363636354</v>
      </c>
      <c r="D176">
        <v>0.4</v>
      </c>
      <c r="E176" s="39">
        <v>1.5019571421642283E-2</v>
      </c>
    </row>
    <row r="177" spans="1:5" x14ac:dyDescent="0.3">
      <c r="A177" s="48"/>
      <c r="B177">
        <v>9</v>
      </c>
      <c r="C177" s="33">
        <v>0.40909090909090906</v>
      </c>
      <c r="D177">
        <v>1</v>
      </c>
      <c r="E177" s="39">
        <v>1.7902963917226837E-2</v>
      </c>
    </row>
    <row r="178" spans="1:5" x14ac:dyDescent="0.3">
      <c r="A178" s="48"/>
      <c r="B178">
        <v>10</v>
      </c>
      <c r="C178" s="33">
        <v>0.27272727272727271</v>
      </c>
      <c r="D178">
        <v>0.8</v>
      </c>
      <c r="E178" s="39">
        <v>9.6491806147357331E-3</v>
      </c>
    </row>
    <row r="179" spans="1:5" x14ac:dyDescent="0.3">
      <c r="A179" s="48"/>
      <c r="B179">
        <v>11</v>
      </c>
      <c r="C179" s="33">
        <v>0.40909090909090906</v>
      </c>
      <c r="D179">
        <v>0.6</v>
      </c>
      <c r="E179" s="39">
        <v>1.7573920302622909E-2</v>
      </c>
    </row>
    <row r="180" spans="1:5" x14ac:dyDescent="0.3">
      <c r="A180" s="48"/>
      <c r="B180">
        <v>12</v>
      </c>
      <c r="C180" s="33">
        <v>0.72727272727272718</v>
      </c>
      <c r="D180">
        <v>0.4</v>
      </c>
      <c r="E180" s="39">
        <v>5.7764711938842759E-3</v>
      </c>
    </row>
    <row r="181" spans="1:5" x14ac:dyDescent="0.3">
      <c r="A181" s="48"/>
      <c r="B181">
        <v>13</v>
      </c>
      <c r="C181" s="33">
        <v>0.63636363636363635</v>
      </c>
      <c r="D181">
        <v>0.4</v>
      </c>
      <c r="E181" s="39">
        <v>1.3685690434163702E-2</v>
      </c>
    </row>
    <row r="182" spans="1:5" x14ac:dyDescent="0.3">
      <c r="A182" s="48"/>
      <c r="B182">
        <v>14</v>
      </c>
      <c r="C182" s="33">
        <v>0.13636363636363635</v>
      </c>
      <c r="D182">
        <v>0.6</v>
      </c>
      <c r="E182" s="39">
        <v>1.2916831422169501E-2</v>
      </c>
    </row>
    <row r="183" spans="1:5" x14ac:dyDescent="0.3">
      <c r="A183" s="49"/>
      <c r="B183" s="7">
        <v>15</v>
      </c>
      <c r="C183" s="34">
        <v>0.56818181818181812</v>
      </c>
      <c r="D183" s="7">
        <v>0.8</v>
      </c>
      <c r="E183" s="40">
        <v>8.516592147620931E-3</v>
      </c>
    </row>
    <row r="185" spans="1:5" x14ac:dyDescent="0.3">
      <c r="A185" s="3"/>
    </row>
    <row r="186" spans="1:5" x14ac:dyDescent="0.3">
      <c r="A186" s="3"/>
    </row>
    <row r="187" spans="1:5" x14ac:dyDescent="0.3">
      <c r="A187" s="3"/>
    </row>
    <row r="188" spans="1:5" x14ac:dyDescent="0.3">
      <c r="A188" s="3"/>
    </row>
    <row r="189" spans="1:5" x14ac:dyDescent="0.3">
      <c r="A189" s="3"/>
    </row>
    <row r="190" spans="1:5" x14ac:dyDescent="0.3">
      <c r="A190" s="3"/>
    </row>
    <row r="192" spans="1:5" x14ac:dyDescent="0.3">
      <c r="A192" s="3"/>
    </row>
    <row r="193" spans="1:1" x14ac:dyDescent="0.3">
      <c r="A193" s="3"/>
    </row>
    <row r="194" spans="1:1" x14ac:dyDescent="0.3">
      <c r="A194" s="3"/>
    </row>
    <row r="195" spans="1:1" x14ac:dyDescent="0.3">
      <c r="A195" s="3"/>
    </row>
    <row r="196" spans="1:1" x14ac:dyDescent="0.3">
      <c r="A196" s="3"/>
    </row>
    <row r="197" spans="1:1" x14ac:dyDescent="0.3">
      <c r="A197" s="3"/>
    </row>
    <row r="198" spans="1:1" x14ac:dyDescent="0.3">
      <c r="A198" s="3"/>
    </row>
    <row r="199" spans="1:1" x14ac:dyDescent="0.3">
      <c r="A199" s="3"/>
    </row>
    <row r="200" spans="1:1" x14ac:dyDescent="0.3">
      <c r="A200" s="3"/>
    </row>
    <row r="201" spans="1:1" x14ac:dyDescent="0.3">
      <c r="A201" s="3"/>
    </row>
    <row r="202" spans="1:1" x14ac:dyDescent="0.3">
      <c r="A202" s="3"/>
    </row>
    <row r="204" spans="1:1" x14ac:dyDescent="0.3">
      <c r="A204" s="3"/>
    </row>
    <row r="205" spans="1:1" x14ac:dyDescent="0.3">
      <c r="A205" s="3"/>
    </row>
    <row r="206" spans="1:1" x14ac:dyDescent="0.3">
      <c r="A206" s="3"/>
    </row>
    <row r="207" spans="1:1" x14ac:dyDescent="0.3">
      <c r="A207" s="3"/>
    </row>
    <row r="208" spans="1:1" x14ac:dyDescent="0.3">
      <c r="A208" s="3"/>
    </row>
    <row r="209" spans="1:1" x14ac:dyDescent="0.3">
      <c r="A209" s="3"/>
    </row>
    <row r="210" spans="1:1" x14ac:dyDescent="0.3">
      <c r="A210" s="3"/>
    </row>
    <row r="211" spans="1:1" x14ac:dyDescent="0.3">
      <c r="A211" s="3"/>
    </row>
    <row r="212" spans="1:1" x14ac:dyDescent="0.3">
      <c r="A212" s="3"/>
    </row>
    <row r="213" spans="1:1" x14ac:dyDescent="0.3">
      <c r="A213" s="3"/>
    </row>
    <row r="214" spans="1:1" x14ac:dyDescent="0.3">
      <c r="A214" s="3"/>
    </row>
    <row r="215" spans="1:1" x14ac:dyDescent="0.3">
      <c r="A215" s="3"/>
    </row>
    <row r="216" spans="1:1" x14ac:dyDescent="0.3">
      <c r="A216" s="3"/>
    </row>
    <row r="217" spans="1:1" x14ac:dyDescent="0.3">
      <c r="A217" s="3"/>
    </row>
    <row r="218" spans="1:1" x14ac:dyDescent="0.3">
      <c r="A218" s="3"/>
    </row>
    <row r="219" spans="1:1" x14ac:dyDescent="0.3">
      <c r="A219" s="3"/>
    </row>
    <row r="221" spans="1:1" x14ac:dyDescent="0.3">
      <c r="A221" s="3"/>
    </row>
    <row r="222" spans="1:1" x14ac:dyDescent="0.3">
      <c r="A222" s="3"/>
    </row>
    <row r="223" spans="1:1" x14ac:dyDescent="0.3">
      <c r="A223" s="3"/>
    </row>
    <row r="224" spans="1:1" x14ac:dyDescent="0.3">
      <c r="A224" s="3"/>
    </row>
    <row r="225" spans="1:1" x14ac:dyDescent="0.3">
      <c r="A225" s="3"/>
    </row>
    <row r="226" spans="1:1" x14ac:dyDescent="0.3">
      <c r="A226" s="3"/>
    </row>
    <row r="228" spans="1:1" x14ac:dyDescent="0.3">
      <c r="A228" s="3"/>
    </row>
    <row r="229" spans="1:1" x14ac:dyDescent="0.3">
      <c r="A229" s="3"/>
    </row>
    <row r="230" spans="1:1" x14ac:dyDescent="0.3">
      <c r="A230" s="3"/>
    </row>
    <row r="231" spans="1:1" x14ac:dyDescent="0.3">
      <c r="A231" s="3"/>
    </row>
    <row r="232" spans="1:1" x14ac:dyDescent="0.3">
      <c r="A232" s="3"/>
    </row>
    <row r="233" spans="1:1" x14ac:dyDescent="0.3">
      <c r="A233" s="3"/>
    </row>
    <row r="234" spans="1:1" x14ac:dyDescent="0.3">
      <c r="A234" s="3"/>
    </row>
    <row r="235" spans="1:1" x14ac:dyDescent="0.3">
      <c r="A235" s="3"/>
    </row>
    <row r="236" spans="1:1" x14ac:dyDescent="0.3">
      <c r="A236" s="3"/>
    </row>
    <row r="237" spans="1:1" x14ac:dyDescent="0.3">
      <c r="A237" s="3"/>
    </row>
    <row r="238" spans="1:1" x14ac:dyDescent="0.3">
      <c r="A238" s="3"/>
    </row>
    <row r="240" spans="1:1" x14ac:dyDescent="0.3">
      <c r="A240" s="3"/>
    </row>
    <row r="241" spans="1:1" x14ac:dyDescent="0.3">
      <c r="A241" s="3"/>
    </row>
    <row r="242" spans="1:1" x14ac:dyDescent="0.3">
      <c r="A242" s="3"/>
    </row>
    <row r="243" spans="1:1" x14ac:dyDescent="0.3">
      <c r="A243" s="3"/>
    </row>
    <row r="244" spans="1:1" x14ac:dyDescent="0.3">
      <c r="A244" s="3"/>
    </row>
    <row r="245" spans="1:1" x14ac:dyDescent="0.3">
      <c r="A245" s="3"/>
    </row>
    <row r="246" spans="1:1" x14ac:dyDescent="0.3">
      <c r="A246" s="3"/>
    </row>
    <row r="247" spans="1:1" x14ac:dyDescent="0.3">
      <c r="A247" s="3"/>
    </row>
    <row r="248" spans="1:1" x14ac:dyDescent="0.3">
      <c r="A248" s="3"/>
    </row>
    <row r="249" spans="1:1" x14ac:dyDescent="0.3">
      <c r="A249" s="3"/>
    </row>
    <row r="250" spans="1:1" x14ac:dyDescent="0.3">
      <c r="A250" s="3"/>
    </row>
    <row r="251" spans="1:1" x14ac:dyDescent="0.3">
      <c r="A251" s="3"/>
    </row>
    <row r="252" spans="1:1" x14ac:dyDescent="0.3">
      <c r="A252" s="3"/>
    </row>
    <row r="253" spans="1:1" x14ac:dyDescent="0.3">
      <c r="A253" s="3"/>
    </row>
    <row r="254" spans="1:1" x14ac:dyDescent="0.3">
      <c r="A254" s="3"/>
    </row>
    <row r="255" spans="1:1" x14ac:dyDescent="0.3">
      <c r="A255" s="3"/>
    </row>
  </sheetData>
  <mergeCells count="21">
    <mergeCell ref="A19:A33"/>
    <mergeCell ref="A154:A158"/>
    <mergeCell ref="A159:A168"/>
    <mergeCell ref="A169:A183"/>
    <mergeCell ref="A94:A98"/>
    <mergeCell ref="A99:A108"/>
    <mergeCell ref="A109:A123"/>
    <mergeCell ref="A124:A128"/>
    <mergeCell ref="A129:A138"/>
    <mergeCell ref="A139:A153"/>
    <mergeCell ref="A34:A38"/>
    <mergeCell ref="A39:A48"/>
    <mergeCell ref="A49:A63"/>
    <mergeCell ref="A64:A68"/>
    <mergeCell ref="A69:A78"/>
    <mergeCell ref="A79:A93"/>
    <mergeCell ref="C2:E2"/>
    <mergeCell ref="A2:A3"/>
    <mergeCell ref="B2:B3"/>
    <mergeCell ref="A4:A8"/>
    <mergeCell ref="A9:A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A4975-DE80-4247-9CE3-1BD9F4C7AA6C}">
  <dimension ref="A2:E254"/>
  <sheetViews>
    <sheetView topLeftCell="A46" workbookViewId="0">
      <selection activeCell="D39" sqref="D39"/>
    </sheetView>
  </sheetViews>
  <sheetFormatPr defaultRowHeight="14.4" x14ac:dyDescent="0.3"/>
  <cols>
    <col min="1" max="1" width="9.5546875" bestFit="1" customWidth="1"/>
    <col min="3" max="3" width="31.5546875" bestFit="1" customWidth="1"/>
    <col min="4" max="4" width="26.33203125" bestFit="1" customWidth="1"/>
    <col min="5" max="5" width="32.88671875" bestFit="1" customWidth="1"/>
  </cols>
  <sheetData>
    <row r="2" spans="1:5" x14ac:dyDescent="0.3">
      <c r="A2" s="2" t="s">
        <v>0</v>
      </c>
      <c r="B2" s="2" t="s">
        <v>25</v>
      </c>
      <c r="C2" s="2" t="s">
        <v>34</v>
      </c>
      <c r="D2" s="2" t="s">
        <v>35</v>
      </c>
      <c r="E2" s="9"/>
    </row>
    <row r="3" spans="1:5" x14ac:dyDescent="0.3">
      <c r="A3" s="47" t="s">
        <v>5</v>
      </c>
      <c r="B3" s="4">
        <v>1</v>
      </c>
      <c r="C3" s="4">
        <v>0.56212620512759059</v>
      </c>
      <c r="D3" s="10" t="str">
        <f>IF(C3&lt;0.25, "Bad", IF(C3&lt;=0.75, "Intermediate", "Excellent"))</f>
        <v>Intermediate</v>
      </c>
      <c r="E3" s="16"/>
    </row>
    <row r="4" spans="1:5" x14ac:dyDescent="0.3">
      <c r="A4" s="48"/>
      <c r="B4">
        <v>2</v>
      </c>
      <c r="C4">
        <v>0.45893652600341089</v>
      </c>
      <c r="D4" s="11" t="str">
        <f t="shared" ref="D4:D67" si="0">IF(C4&lt;0.25, "Bad", IF(C4&lt;=0.75, "Intermediate", "Excellent"))</f>
        <v>Intermediate</v>
      </c>
    </row>
    <row r="5" spans="1:5" x14ac:dyDescent="0.3">
      <c r="A5" s="48"/>
      <c r="B5">
        <v>3</v>
      </c>
      <c r="C5">
        <v>0.37845147559421816</v>
      </c>
      <c r="D5" s="11" t="str">
        <f t="shared" si="0"/>
        <v>Intermediate</v>
      </c>
    </row>
    <row r="6" spans="1:5" x14ac:dyDescent="0.3">
      <c r="A6" s="48"/>
      <c r="B6">
        <v>4</v>
      </c>
      <c r="C6">
        <v>0.38606807542407068</v>
      </c>
      <c r="D6" s="11" t="str">
        <f t="shared" si="0"/>
        <v>Intermediate</v>
      </c>
    </row>
    <row r="7" spans="1:5" x14ac:dyDescent="0.3">
      <c r="A7" s="49"/>
      <c r="B7" s="7">
        <v>5</v>
      </c>
      <c r="C7" s="7">
        <v>0.42448469432961478</v>
      </c>
      <c r="D7" s="12" t="str">
        <f t="shared" si="0"/>
        <v>Intermediate</v>
      </c>
    </row>
    <row r="8" spans="1:5" x14ac:dyDescent="0.3">
      <c r="A8" s="47" t="s">
        <v>6</v>
      </c>
      <c r="B8" s="4">
        <v>1</v>
      </c>
      <c r="C8" s="4">
        <v>0.41994649904341946</v>
      </c>
      <c r="D8" s="10" t="str">
        <f t="shared" si="0"/>
        <v>Intermediate</v>
      </c>
    </row>
    <row r="9" spans="1:5" x14ac:dyDescent="0.3">
      <c r="A9" s="48"/>
      <c r="B9">
        <v>2</v>
      </c>
      <c r="C9">
        <v>0.52300871402838178</v>
      </c>
      <c r="D9" s="11" t="str">
        <f t="shared" si="0"/>
        <v>Intermediate</v>
      </c>
    </row>
    <row r="10" spans="1:5" x14ac:dyDescent="0.3">
      <c r="A10" s="48"/>
      <c r="B10">
        <v>3</v>
      </c>
      <c r="C10">
        <v>0.4483421268757164</v>
      </c>
      <c r="D10" s="11" t="str">
        <f t="shared" si="0"/>
        <v>Intermediate</v>
      </c>
    </row>
    <row r="11" spans="1:5" x14ac:dyDescent="0.3">
      <c r="A11" s="48"/>
      <c r="B11">
        <v>4</v>
      </c>
      <c r="C11">
        <v>0.40142907924639837</v>
      </c>
      <c r="D11" s="11" t="str">
        <f t="shared" si="0"/>
        <v>Intermediate</v>
      </c>
    </row>
    <row r="12" spans="1:5" x14ac:dyDescent="0.3">
      <c r="A12" s="48"/>
      <c r="B12">
        <v>5</v>
      </c>
      <c r="C12">
        <v>0.53542984721073916</v>
      </c>
      <c r="D12" s="11" t="str">
        <f t="shared" si="0"/>
        <v>Intermediate</v>
      </c>
    </row>
    <row r="13" spans="1:5" x14ac:dyDescent="0.3">
      <c r="A13" s="48"/>
      <c r="B13">
        <v>6</v>
      </c>
      <c r="C13">
        <v>0.41373741423727189</v>
      </c>
      <c r="D13" s="11" t="str">
        <f t="shared" si="0"/>
        <v>Intermediate</v>
      </c>
    </row>
    <row r="14" spans="1:5" x14ac:dyDescent="0.3">
      <c r="A14" s="48"/>
      <c r="B14">
        <v>7</v>
      </c>
      <c r="C14">
        <v>0.45159103889827495</v>
      </c>
      <c r="D14" s="11" t="str">
        <f t="shared" si="0"/>
        <v>Intermediate</v>
      </c>
    </row>
    <row r="15" spans="1:5" x14ac:dyDescent="0.3">
      <c r="A15" s="48"/>
      <c r="B15">
        <v>8</v>
      </c>
      <c r="C15">
        <v>0.59437574683968974</v>
      </c>
      <c r="D15" s="11" t="str">
        <f t="shared" si="0"/>
        <v>Intermediate</v>
      </c>
    </row>
    <row r="16" spans="1:5" x14ac:dyDescent="0.3">
      <c r="A16" s="48"/>
      <c r="B16">
        <v>9</v>
      </c>
      <c r="C16">
        <v>0.53522911965043862</v>
      </c>
      <c r="D16" s="11" t="str">
        <f t="shared" si="0"/>
        <v>Intermediate</v>
      </c>
    </row>
    <row r="17" spans="1:4" x14ac:dyDescent="0.3">
      <c r="A17" s="49"/>
      <c r="B17" s="7">
        <v>10</v>
      </c>
      <c r="C17" s="7">
        <v>0.55888172484832499</v>
      </c>
      <c r="D17" s="12" t="str">
        <f t="shared" si="0"/>
        <v>Intermediate</v>
      </c>
    </row>
    <row r="18" spans="1:4" x14ac:dyDescent="0.3">
      <c r="A18" s="47" t="s">
        <v>7</v>
      </c>
      <c r="B18" s="4">
        <v>1</v>
      </c>
      <c r="C18" s="4">
        <v>0.37410203258364583</v>
      </c>
      <c r="D18" s="10" t="str">
        <f t="shared" si="0"/>
        <v>Intermediate</v>
      </c>
    </row>
    <row r="19" spans="1:4" x14ac:dyDescent="0.3">
      <c r="A19" s="48"/>
      <c r="B19">
        <v>2</v>
      </c>
      <c r="C19">
        <v>0.54183423104460804</v>
      </c>
      <c r="D19" s="11" t="str">
        <f t="shared" si="0"/>
        <v>Intermediate</v>
      </c>
    </row>
    <row r="20" spans="1:4" x14ac:dyDescent="0.3">
      <c r="A20" s="48"/>
      <c r="B20">
        <v>3</v>
      </c>
      <c r="C20">
        <v>0.41441290801869379</v>
      </c>
      <c r="D20" s="11" t="str">
        <f t="shared" si="0"/>
        <v>Intermediate</v>
      </c>
    </row>
    <row r="21" spans="1:4" x14ac:dyDescent="0.3">
      <c r="A21" s="48"/>
      <c r="B21">
        <v>4</v>
      </c>
      <c r="C21">
        <v>0.3918191403956528</v>
      </c>
      <c r="D21" s="11" t="str">
        <f t="shared" si="0"/>
        <v>Intermediate</v>
      </c>
    </row>
    <row r="22" spans="1:4" x14ac:dyDescent="0.3">
      <c r="A22" s="48"/>
      <c r="B22">
        <v>5</v>
      </c>
      <c r="C22">
        <v>0.50512681744393872</v>
      </c>
      <c r="D22" s="11" t="str">
        <f t="shared" si="0"/>
        <v>Intermediate</v>
      </c>
    </row>
    <row r="23" spans="1:4" x14ac:dyDescent="0.3">
      <c r="A23" s="48"/>
      <c r="B23">
        <v>6</v>
      </c>
      <c r="C23">
        <v>0.40833773743594293</v>
      </c>
      <c r="D23" s="11" t="str">
        <f t="shared" si="0"/>
        <v>Intermediate</v>
      </c>
    </row>
    <row r="24" spans="1:4" x14ac:dyDescent="0.3">
      <c r="A24" s="48"/>
      <c r="B24">
        <v>7</v>
      </c>
      <c r="C24">
        <v>0.52190309580582406</v>
      </c>
      <c r="D24" s="11" t="str">
        <f t="shared" si="0"/>
        <v>Intermediate</v>
      </c>
    </row>
    <row r="25" spans="1:4" x14ac:dyDescent="0.3">
      <c r="A25" s="48"/>
      <c r="B25">
        <v>8</v>
      </c>
      <c r="C25">
        <v>0.4591919591326471</v>
      </c>
      <c r="D25" s="11" t="str">
        <f t="shared" si="0"/>
        <v>Intermediate</v>
      </c>
    </row>
    <row r="26" spans="1:4" x14ac:dyDescent="0.3">
      <c r="A26" s="48"/>
      <c r="B26">
        <v>9</v>
      </c>
      <c r="C26">
        <v>0.5440015017713713</v>
      </c>
      <c r="D26" s="11" t="str">
        <f t="shared" si="0"/>
        <v>Intermediate</v>
      </c>
    </row>
    <row r="27" spans="1:4" x14ac:dyDescent="0.3">
      <c r="A27" s="48"/>
      <c r="B27">
        <v>10</v>
      </c>
      <c r="C27">
        <v>0.47520746309251255</v>
      </c>
      <c r="D27" s="11" t="str">
        <f t="shared" si="0"/>
        <v>Intermediate</v>
      </c>
    </row>
    <row r="28" spans="1:4" x14ac:dyDescent="0.3">
      <c r="A28" s="48"/>
      <c r="B28">
        <v>11</v>
      </c>
      <c r="C28">
        <v>0.56407271608932341</v>
      </c>
      <c r="D28" s="11" t="str">
        <f t="shared" si="0"/>
        <v>Intermediate</v>
      </c>
    </row>
    <row r="29" spans="1:4" x14ac:dyDescent="0.3">
      <c r="A29" s="48"/>
      <c r="B29">
        <v>12</v>
      </c>
      <c r="C29">
        <v>0.55038063513745583</v>
      </c>
      <c r="D29" s="11" t="str">
        <f t="shared" si="0"/>
        <v>Intermediate</v>
      </c>
    </row>
    <row r="30" spans="1:4" x14ac:dyDescent="0.3">
      <c r="A30" s="48"/>
      <c r="B30">
        <v>13</v>
      </c>
      <c r="C30">
        <v>0.49221505811691235</v>
      </c>
      <c r="D30" s="11" t="str">
        <f t="shared" si="0"/>
        <v>Intermediate</v>
      </c>
    </row>
    <row r="31" spans="1:4" x14ac:dyDescent="0.3">
      <c r="A31" s="48"/>
      <c r="B31">
        <v>14</v>
      </c>
      <c r="C31">
        <v>0.41488910456881989</v>
      </c>
      <c r="D31" s="11" t="str">
        <f t="shared" si="0"/>
        <v>Intermediate</v>
      </c>
    </row>
    <row r="32" spans="1:4" x14ac:dyDescent="0.3">
      <c r="A32" s="49"/>
      <c r="B32" s="7">
        <v>15</v>
      </c>
      <c r="C32" s="7">
        <v>0.40178788011923638</v>
      </c>
      <c r="D32" s="12" t="str">
        <f t="shared" si="0"/>
        <v>Intermediate</v>
      </c>
    </row>
    <row r="33" spans="1:4" x14ac:dyDescent="0.3">
      <c r="A33" s="47" t="s">
        <v>8</v>
      </c>
      <c r="B33" s="4">
        <v>1</v>
      </c>
      <c r="C33" s="4">
        <v>0.38205465711834452</v>
      </c>
      <c r="D33" s="10" t="str">
        <f t="shared" si="0"/>
        <v>Intermediate</v>
      </c>
    </row>
    <row r="34" spans="1:4" x14ac:dyDescent="0.3">
      <c r="A34" s="48"/>
      <c r="B34">
        <v>2</v>
      </c>
      <c r="C34">
        <v>0.5636363636363636</v>
      </c>
      <c r="D34" s="11" t="str">
        <f t="shared" si="0"/>
        <v>Intermediate</v>
      </c>
    </row>
    <row r="35" spans="1:4" x14ac:dyDescent="0.3">
      <c r="A35" s="48"/>
      <c r="B35">
        <v>3</v>
      </c>
      <c r="C35">
        <v>0.34151016814124763</v>
      </c>
      <c r="D35" s="11" t="str">
        <f t="shared" si="0"/>
        <v>Intermediate</v>
      </c>
    </row>
    <row r="36" spans="1:4" x14ac:dyDescent="0.3">
      <c r="A36" s="48"/>
      <c r="B36">
        <v>4</v>
      </c>
      <c r="C36">
        <v>0.39971502290600741</v>
      </c>
      <c r="D36" s="11" t="str">
        <f t="shared" si="0"/>
        <v>Intermediate</v>
      </c>
    </row>
    <row r="37" spans="1:4" x14ac:dyDescent="0.3">
      <c r="A37" s="49"/>
      <c r="B37" s="7">
        <v>5</v>
      </c>
      <c r="C37" s="7">
        <v>0.39158091614266644</v>
      </c>
      <c r="D37" s="12" t="str">
        <f t="shared" si="0"/>
        <v>Intermediate</v>
      </c>
    </row>
    <row r="38" spans="1:4" x14ac:dyDescent="0.3">
      <c r="A38" s="47" t="s">
        <v>9</v>
      </c>
      <c r="B38" s="4">
        <v>1</v>
      </c>
      <c r="C38" s="4">
        <v>0.44895819516118773</v>
      </c>
      <c r="D38" s="10" t="str">
        <f t="shared" si="0"/>
        <v>Intermediate</v>
      </c>
    </row>
    <row r="39" spans="1:4" x14ac:dyDescent="0.3">
      <c r="A39" s="48"/>
      <c r="B39">
        <v>2</v>
      </c>
      <c r="C39">
        <v>0.3081051872866819</v>
      </c>
      <c r="D39" s="11" t="str">
        <f t="shared" si="0"/>
        <v>Intermediate</v>
      </c>
    </row>
    <row r="40" spans="1:4" x14ac:dyDescent="0.3">
      <c r="A40" s="48"/>
      <c r="B40">
        <v>3</v>
      </c>
      <c r="C40">
        <v>0.26726774389882335</v>
      </c>
      <c r="D40" s="11" t="str">
        <f t="shared" si="0"/>
        <v>Intermediate</v>
      </c>
    </row>
    <row r="41" spans="1:4" x14ac:dyDescent="0.3">
      <c r="A41" s="48"/>
      <c r="B41">
        <v>4</v>
      </c>
      <c r="C41">
        <v>0.22179705317309109</v>
      </c>
      <c r="D41" s="13" t="str">
        <f t="shared" si="0"/>
        <v>Bad</v>
      </c>
    </row>
    <row r="42" spans="1:4" x14ac:dyDescent="0.3">
      <c r="A42" s="48"/>
      <c r="B42">
        <v>5</v>
      </c>
      <c r="C42">
        <v>0.42175903590650421</v>
      </c>
      <c r="D42" s="11" t="str">
        <f t="shared" si="0"/>
        <v>Intermediate</v>
      </c>
    </row>
    <row r="43" spans="1:4" x14ac:dyDescent="0.3">
      <c r="A43" s="48"/>
      <c r="B43">
        <v>6</v>
      </c>
      <c r="C43">
        <v>0.25728538848349047</v>
      </c>
      <c r="D43" s="11" t="str">
        <f t="shared" si="0"/>
        <v>Intermediate</v>
      </c>
    </row>
    <row r="44" spans="1:4" x14ac:dyDescent="0.3">
      <c r="A44" s="48"/>
      <c r="B44">
        <v>7</v>
      </c>
      <c r="C44">
        <v>0.49545454545454543</v>
      </c>
      <c r="D44" s="11" t="str">
        <f t="shared" si="0"/>
        <v>Intermediate</v>
      </c>
    </row>
    <row r="45" spans="1:4" x14ac:dyDescent="0.3">
      <c r="A45" s="48"/>
      <c r="B45">
        <v>8</v>
      </c>
      <c r="C45">
        <v>0.31885364341539374</v>
      </c>
      <c r="D45" s="11" t="str">
        <f t="shared" si="0"/>
        <v>Intermediate</v>
      </c>
    </row>
    <row r="46" spans="1:4" x14ac:dyDescent="0.3">
      <c r="A46" s="48"/>
      <c r="B46">
        <v>9</v>
      </c>
      <c r="C46">
        <v>0.46789684108782559</v>
      </c>
      <c r="D46" s="11" t="str">
        <f t="shared" si="0"/>
        <v>Intermediate</v>
      </c>
    </row>
    <row r="47" spans="1:4" x14ac:dyDescent="0.3">
      <c r="A47" s="49"/>
      <c r="B47" s="7">
        <v>10</v>
      </c>
      <c r="C47" s="7">
        <v>0.48787878787878786</v>
      </c>
      <c r="D47" s="12" t="str">
        <f t="shared" si="0"/>
        <v>Intermediate</v>
      </c>
    </row>
    <row r="48" spans="1:4" x14ac:dyDescent="0.3">
      <c r="A48" s="47" t="s">
        <v>10</v>
      </c>
      <c r="B48" s="4">
        <v>1</v>
      </c>
      <c r="C48" s="4">
        <v>0.47774607394906654</v>
      </c>
      <c r="D48" s="10" t="str">
        <f t="shared" si="0"/>
        <v>Intermediate</v>
      </c>
    </row>
    <row r="49" spans="1:4" x14ac:dyDescent="0.3">
      <c r="A49" s="48"/>
      <c r="B49">
        <v>2</v>
      </c>
      <c r="C49">
        <v>0.35204458122607585</v>
      </c>
      <c r="D49" s="11" t="str">
        <f t="shared" si="0"/>
        <v>Intermediate</v>
      </c>
    </row>
    <row r="50" spans="1:4" x14ac:dyDescent="0.3">
      <c r="A50" s="48"/>
      <c r="B50">
        <v>3</v>
      </c>
      <c r="C50">
        <v>0.3112071378382173</v>
      </c>
      <c r="D50" s="11" t="str">
        <f t="shared" si="0"/>
        <v>Intermediate</v>
      </c>
    </row>
    <row r="51" spans="1:4" x14ac:dyDescent="0.3">
      <c r="A51" s="48"/>
      <c r="B51">
        <v>4</v>
      </c>
      <c r="C51">
        <v>0.25816068953672744</v>
      </c>
      <c r="D51" s="11" t="str">
        <f t="shared" si="0"/>
        <v>Intermediate</v>
      </c>
    </row>
    <row r="52" spans="1:4" x14ac:dyDescent="0.3">
      <c r="A52" s="48"/>
      <c r="B52">
        <v>5</v>
      </c>
      <c r="C52">
        <v>0.4522296911383506</v>
      </c>
      <c r="D52" s="11" t="str">
        <f t="shared" si="0"/>
        <v>Intermediate</v>
      </c>
    </row>
    <row r="53" spans="1:4" x14ac:dyDescent="0.3">
      <c r="A53" s="48"/>
      <c r="B53">
        <v>6</v>
      </c>
      <c r="C53">
        <v>0.55061290583236011</v>
      </c>
      <c r="D53" s="11" t="str">
        <f t="shared" si="0"/>
        <v>Intermediate</v>
      </c>
    </row>
    <row r="54" spans="1:4" x14ac:dyDescent="0.3">
      <c r="A54" s="48"/>
      <c r="B54">
        <v>7</v>
      </c>
      <c r="C54">
        <v>0.49760735069157369</v>
      </c>
      <c r="D54" s="11" t="str">
        <f t="shared" si="0"/>
        <v>Intermediate</v>
      </c>
    </row>
    <row r="55" spans="1:4" x14ac:dyDescent="0.3">
      <c r="A55" s="48"/>
      <c r="B55">
        <v>8</v>
      </c>
      <c r="C55">
        <v>0.49680980092209831</v>
      </c>
      <c r="D55" s="11" t="str">
        <f t="shared" si="0"/>
        <v>Intermediate</v>
      </c>
    </row>
    <row r="56" spans="1:4" x14ac:dyDescent="0.3">
      <c r="A56" s="48"/>
      <c r="B56">
        <v>9</v>
      </c>
      <c r="C56">
        <v>0.50303030303030294</v>
      </c>
      <c r="D56" s="11" t="str">
        <f t="shared" si="0"/>
        <v>Intermediate</v>
      </c>
    </row>
    <row r="57" spans="1:4" x14ac:dyDescent="0.3">
      <c r="A57" s="48"/>
      <c r="B57">
        <v>10</v>
      </c>
      <c r="C57">
        <v>0.58484848484848473</v>
      </c>
      <c r="D57" s="11" t="str">
        <f t="shared" si="0"/>
        <v>Intermediate</v>
      </c>
    </row>
    <row r="58" spans="1:4" x14ac:dyDescent="0.3">
      <c r="A58" s="48"/>
      <c r="B58">
        <v>11</v>
      </c>
      <c r="C58">
        <v>0.49612637068812104</v>
      </c>
      <c r="D58" s="11" t="str">
        <f t="shared" si="0"/>
        <v>Intermediate</v>
      </c>
    </row>
    <row r="59" spans="1:4" x14ac:dyDescent="0.3">
      <c r="A59" s="48"/>
      <c r="B59">
        <v>12</v>
      </c>
      <c r="C59">
        <v>0.54062411381509834</v>
      </c>
      <c r="D59" s="11" t="str">
        <f t="shared" si="0"/>
        <v>Intermediate</v>
      </c>
    </row>
    <row r="60" spans="1:4" x14ac:dyDescent="0.3">
      <c r="A60" s="48"/>
      <c r="B60">
        <v>13</v>
      </c>
      <c r="C60">
        <v>0.54072662835019492</v>
      </c>
      <c r="D60" s="11" t="str">
        <f t="shared" si="0"/>
        <v>Intermediate</v>
      </c>
    </row>
    <row r="61" spans="1:4" x14ac:dyDescent="0.3">
      <c r="A61" s="48"/>
      <c r="B61">
        <v>14</v>
      </c>
      <c r="C61">
        <v>0.59365441684540132</v>
      </c>
      <c r="D61" s="11" t="str">
        <f t="shared" si="0"/>
        <v>Intermediate</v>
      </c>
    </row>
    <row r="62" spans="1:4" x14ac:dyDescent="0.3">
      <c r="A62" s="49"/>
      <c r="B62" s="7">
        <v>15</v>
      </c>
      <c r="C62" s="7">
        <v>0.46515151515151509</v>
      </c>
      <c r="D62" s="12" t="str">
        <f t="shared" si="0"/>
        <v>Intermediate</v>
      </c>
    </row>
    <row r="63" spans="1:4" x14ac:dyDescent="0.3">
      <c r="A63" s="47" t="s">
        <v>11</v>
      </c>
      <c r="B63" s="4">
        <v>1</v>
      </c>
      <c r="C63" s="4">
        <v>0.29403259119022923</v>
      </c>
      <c r="D63" s="10" t="str">
        <f t="shared" si="0"/>
        <v>Intermediate</v>
      </c>
    </row>
    <row r="64" spans="1:4" x14ac:dyDescent="0.3">
      <c r="A64" s="48"/>
      <c r="B64">
        <v>2</v>
      </c>
      <c r="C64">
        <v>0.32520272013892354</v>
      </c>
      <c r="D64" s="11" t="str">
        <f t="shared" si="0"/>
        <v>Intermediate</v>
      </c>
    </row>
    <row r="65" spans="1:4" x14ac:dyDescent="0.3">
      <c r="A65" s="48"/>
      <c r="B65">
        <v>3</v>
      </c>
      <c r="C65">
        <v>0.48290764949259735</v>
      </c>
      <c r="D65" s="11" t="str">
        <f t="shared" si="0"/>
        <v>Intermediate</v>
      </c>
    </row>
    <row r="66" spans="1:4" x14ac:dyDescent="0.3">
      <c r="A66" s="48"/>
      <c r="B66">
        <v>4</v>
      </c>
      <c r="C66">
        <v>0.33629645995586449</v>
      </c>
      <c r="D66" s="11" t="str">
        <f t="shared" si="0"/>
        <v>Intermediate</v>
      </c>
    </row>
    <row r="67" spans="1:4" x14ac:dyDescent="0.3">
      <c r="A67" s="49"/>
      <c r="B67" s="7">
        <v>5</v>
      </c>
      <c r="C67" s="7">
        <v>0.46407410696643825</v>
      </c>
      <c r="D67" s="12" t="str">
        <f t="shared" si="0"/>
        <v>Intermediate</v>
      </c>
    </row>
    <row r="68" spans="1:4" x14ac:dyDescent="0.3">
      <c r="A68" s="47" t="s">
        <v>12</v>
      </c>
      <c r="B68" s="4">
        <v>1</v>
      </c>
      <c r="C68" s="4">
        <v>0.53125531857065578</v>
      </c>
      <c r="D68" s="10" t="str">
        <f t="shared" ref="D68:D131" si="1">IF(C68&lt;0.25, "Bad", IF(C68&lt;=0.75, "Intermediate", "Excellent"))</f>
        <v>Intermediate</v>
      </c>
    </row>
    <row r="69" spans="1:4" x14ac:dyDescent="0.3">
      <c r="A69" s="48"/>
      <c r="B69">
        <v>2</v>
      </c>
      <c r="C69">
        <v>0.48159214160967734</v>
      </c>
      <c r="D69" s="11" t="str">
        <f t="shared" si="1"/>
        <v>Intermediate</v>
      </c>
    </row>
    <row r="70" spans="1:4" x14ac:dyDescent="0.3">
      <c r="A70" s="48"/>
      <c r="B70">
        <v>3</v>
      </c>
      <c r="C70">
        <v>0.32991274994419906</v>
      </c>
      <c r="D70" s="11" t="str">
        <f t="shared" si="1"/>
        <v>Intermediate</v>
      </c>
    </row>
    <row r="71" spans="1:4" x14ac:dyDescent="0.3">
      <c r="A71" s="48"/>
      <c r="B71">
        <v>4</v>
      </c>
      <c r="C71">
        <v>0.35560916215720484</v>
      </c>
      <c r="D71" s="11" t="str">
        <f t="shared" si="1"/>
        <v>Intermediate</v>
      </c>
    </row>
    <row r="72" spans="1:4" x14ac:dyDescent="0.3">
      <c r="A72" s="48"/>
      <c r="B72">
        <v>5</v>
      </c>
      <c r="C72">
        <v>0.54317809259947125</v>
      </c>
      <c r="D72" s="11" t="str">
        <f t="shared" si="1"/>
        <v>Intermediate</v>
      </c>
    </row>
    <row r="73" spans="1:4" x14ac:dyDescent="0.3">
      <c r="A73" s="48"/>
      <c r="B73">
        <v>6</v>
      </c>
      <c r="C73">
        <v>0.51519182865960245</v>
      </c>
      <c r="D73" s="11" t="str">
        <f t="shared" si="1"/>
        <v>Intermediate</v>
      </c>
    </row>
    <row r="74" spans="1:4" x14ac:dyDescent="0.3">
      <c r="A74" s="48"/>
      <c r="B74">
        <v>7</v>
      </c>
      <c r="C74">
        <v>0.45896246811836489</v>
      </c>
      <c r="D74" s="11" t="str">
        <f t="shared" si="1"/>
        <v>Intermediate</v>
      </c>
    </row>
    <row r="75" spans="1:4" x14ac:dyDescent="0.3">
      <c r="A75" s="48"/>
      <c r="B75">
        <v>8</v>
      </c>
      <c r="C75">
        <v>0.44934317125559575</v>
      </c>
      <c r="D75" s="11" t="str">
        <f t="shared" si="1"/>
        <v>Intermediate</v>
      </c>
    </row>
    <row r="76" spans="1:4" x14ac:dyDescent="0.3">
      <c r="A76" s="48"/>
      <c r="B76">
        <v>9</v>
      </c>
      <c r="C76">
        <v>0.41861956151189283</v>
      </c>
      <c r="D76" s="11" t="str">
        <f t="shared" si="1"/>
        <v>Intermediate</v>
      </c>
    </row>
    <row r="77" spans="1:4" x14ac:dyDescent="0.3">
      <c r="A77" s="49"/>
      <c r="B77" s="7">
        <v>10</v>
      </c>
      <c r="C77" s="7">
        <v>0.43346802234373072</v>
      </c>
      <c r="D77" s="12" t="str">
        <f t="shared" si="1"/>
        <v>Intermediate</v>
      </c>
    </row>
    <row r="78" spans="1:4" x14ac:dyDescent="0.3">
      <c r="A78" s="47" t="s">
        <v>13</v>
      </c>
      <c r="B78" s="4">
        <v>1</v>
      </c>
      <c r="C78" s="4">
        <v>0.55398259129792837</v>
      </c>
      <c r="D78" s="10" t="str">
        <f t="shared" si="1"/>
        <v>Intermediate</v>
      </c>
    </row>
    <row r="79" spans="1:4" x14ac:dyDescent="0.3">
      <c r="A79" s="48"/>
      <c r="B79">
        <v>2</v>
      </c>
      <c r="C79">
        <v>0.4891678991854348</v>
      </c>
      <c r="D79" s="11" t="str">
        <f t="shared" si="1"/>
        <v>Intermediate</v>
      </c>
    </row>
    <row r="80" spans="1:4" x14ac:dyDescent="0.3">
      <c r="A80" s="48"/>
      <c r="B80">
        <v>3</v>
      </c>
      <c r="C80">
        <v>0.42281381162062803</v>
      </c>
      <c r="D80" s="11" t="str">
        <f t="shared" si="1"/>
        <v>Intermediate</v>
      </c>
    </row>
    <row r="81" spans="1:4" x14ac:dyDescent="0.3">
      <c r="A81" s="48"/>
      <c r="B81">
        <v>4</v>
      </c>
      <c r="C81">
        <v>0.46422560919595318</v>
      </c>
      <c r="D81" s="11" t="str">
        <f t="shared" si="1"/>
        <v>Intermediate</v>
      </c>
    </row>
    <row r="82" spans="1:4" x14ac:dyDescent="0.3">
      <c r="A82" s="48"/>
      <c r="B82">
        <v>5</v>
      </c>
      <c r="C82">
        <v>0.45201544907357483</v>
      </c>
      <c r="D82" s="11" t="str">
        <f t="shared" si="1"/>
        <v>Intermediate</v>
      </c>
    </row>
    <row r="83" spans="1:4" x14ac:dyDescent="0.3">
      <c r="A83" s="48"/>
      <c r="B83">
        <v>6</v>
      </c>
      <c r="C83">
        <v>0.52045081987219843</v>
      </c>
      <c r="D83" s="11" t="str">
        <f t="shared" si="1"/>
        <v>Intermediate</v>
      </c>
    </row>
    <row r="84" spans="1:4" x14ac:dyDescent="0.3">
      <c r="A84" s="48"/>
      <c r="B84">
        <v>7</v>
      </c>
      <c r="C84">
        <v>0.43943425290202676</v>
      </c>
      <c r="D84" s="11" t="str">
        <f t="shared" si="1"/>
        <v>Intermediate</v>
      </c>
    </row>
    <row r="85" spans="1:4" x14ac:dyDescent="0.3">
      <c r="A85" s="48"/>
      <c r="B85">
        <v>8</v>
      </c>
      <c r="C85">
        <v>0.5069843269660993</v>
      </c>
      <c r="D85" s="11" t="str">
        <f t="shared" si="1"/>
        <v>Intermediate</v>
      </c>
    </row>
    <row r="86" spans="1:4" x14ac:dyDescent="0.3">
      <c r="A86" s="48"/>
      <c r="B86">
        <v>9</v>
      </c>
      <c r="C86">
        <v>0.48086487652323939</v>
      </c>
      <c r="D86" s="11" t="str">
        <f t="shared" si="1"/>
        <v>Intermediate</v>
      </c>
    </row>
    <row r="87" spans="1:4" x14ac:dyDescent="0.3">
      <c r="A87" s="48"/>
      <c r="B87">
        <v>10</v>
      </c>
      <c r="C87">
        <v>0.30729687669813788</v>
      </c>
      <c r="D87" s="11" t="str">
        <f t="shared" si="1"/>
        <v>Intermediate</v>
      </c>
    </row>
    <row r="88" spans="1:4" x14ac:dyDescent="0.3">
      <c r="A88" s="48"/>
      <c r="B88">
        <v>11</v>
      </c>
      <c r="C88">
        <v>0.4168386635971349</v>
      </c>
      <c r="D88" s="11" t="str">
        <f t="shared" si="1"/>
        <v>Intermediate</v>
      </c>
    </row>
    <row r="89" spans="1:4" x14ac:dyDescent="0.3">
      <c r="A89" s="48"/>
      <c r="B89">
        <v>12</v>
      </c>
      <c r="C89">
        <v>0.41710440999674125</v>
      </c>
      <c r="D89" s="11" t="str">
        <f t="shared" si="1"/>
        <v>Intermediate</v>
      </c>
    </row>
    <row r="90" spans="1:4" x14ac:dyDescent="0.3">
      <c r="A90" s="48"/>
      <c r="B90">
        <v>13</v>
      </c>
      <c r="C90">
        <v>0.5134808835995075</v>
      </c>
      <c r="D90" s="11" t="str">
        <f t="shared" si="1"/>
        <v>Intermediate</v>
      </c>
    </row>
    <row r="91" spans="1:4" x14ac:dyDescent="0.3">
      <c r="A91" s="48"/>
      <c r="B91">
        <v>14</v>
      </c>
      <c r="C91">
        <v>0.43346802234373072</v>
      </c>
      <c r="D91" s="11" t="str">
        <f t="shared" si="1"/>
        <v>Intermediate</v>
      </c>
    </row>
    <row r="92" spans="1:4" x14ac:dyDescent="0.3">
      <c r="A92" s="49"/>
      <c r="B92" s="7">
        <v>15</v>
      </c>
      <c r="C92" s="7">
        <v>0.44567928394262912</v>
      </c>
      <c r="D92" s="12" t="str">
        <f t="shared" si="1"/>
        <v>Intermediate</v>
      </c>
    </row>
    <row r="93" spans="1:4" x14ac:dyDescent="0.3">
      <c r="A93" s="47" t="s">
        <v>16</v>
      </c>
      <c r="B93" s="4">
        <v>1</v>
      </c>
      <c r="C93" s="4">
        <v>0.28001098050493067</v>
      </c>
      <c r="D93" s="10" t="str">
        <f t="shared" si="1"/>
        <v>Intermediate</v>
      </c>
    </row>
    <row r="94" spans="1:4" x14ac:dyDescent="0.3">
      <c r="A94" s="48"/>
      <c r="B94">
        <v>2</v>
      </c>
      <c r="C94">
        <v>0.33053846811331983</v>
      </c>
      <c r="D94" s="11" t="str">
        <f t="shared" si="1"/>
        <v>Intermediate</v>
      </c>
    </row>
    <row r="95" spans="1:4" x14ac:dyDescent="0.3">
      <c r="A95" s="48"/>
      <c r="B95">
        <v>3</v>
      </c>
      <c r="C95">
        <v>0.35990248071861353</v>
      </c>
      <c r="D95" s="11" t="str">
        <f t="shared" si="1"/>
        <v>Intermediate</v>
      </c>
    </row>
    <row r="96" spans="1:4" x14ac:dyDescent="0.3">
      <c r="A96" s="48"/>
      <c r="B96">
        <v>4</v>
      </c>
      <c r="C96">
        <v>0.27722911199779526</v>
      </c>
      <c r="D96" s="11" t="str">
        <f t="shared" si="1"/>
        <v>Intermediate</v>
      </c>
    </row>
    <row r="97" spans="1:4" x14ac:dyDescent="0.3">
      <c r="A97" s="49"/>
      <c r="B97" s="7">
        <v>5</v>
      </c>
      <c r="C97" s="7">
        <v>0.21422277340426804</v>
      </c>
      <c r="D97" s="14" t="str">
        <f t="shared" si="1"/>
        <v>Bad</v>
      </c>
    </row>
    <row r="98" spans="1:4" x14ac:dyDescent="0.3">
      <c r="A98" s="47" t="s">
        <v>17</v>
      </c>
      <c r="B98" s="4">
        <v>1</v>
      </c>
      <c r="C98" s="4">
        <v>0.42024086738039368</v>
      </c>
      <c r="D98" s="10" t="str">
        <f t="shared" si="1"/>
        <v>Intermediate</v>
      </c>
    </row>
    <row r="99" spans="1:4" x14ac:dyDescent="0.3">
      <c r="A99" s="48"/>
      <c r="B99">
        <v>2</v>
      </c>
      <c r="C99">
        <v>0.41387180144665314</v>
      </c>
      <c r="D99" s="11" t="str">
        <f t="shared" si="1"/>
        <v>Intermediate</v>
      </c>
    </row>
    <row r="100" spans="1:4" x14ac:dyDescent="0.3">
      <c r="A100" s="48"/>
      <c r="B100">
        <v>3</v>
      </c>
      <c r="C100">
        <v>0.3674782382943711</v>
      </c>
      <c r="D100" s="11" t="str">
        <f t="shared" si="1"/>
        <v>Intermediate</v>
      </c>
    </row>
    <row r="101" spans="1:4" x14ac:dyDescent="0.3">
      <c r="A101" s="48"/>
      <c r="B101">
        <v>4</v>
      </c>
      <c r="C101">
        <v>0.1856055902695572</v>
      </c>
      <c r="D101" s="13" t="str">
        <f t="shared" si="1"/>
        <v>Bad</v>
      </c>
    </row>
    <row r="102" spans="1:4" x14ac:dyDescent="0.3">
      <c r="A102" s="48"/>
      <c r="B102">
        <v>5</v>
      </c>
      <c r="C102">
        <v>0.40220441286183928</v>
      </c>
      <c r="D102" s="11" t="str">
        <f t="shared" si="1"/>
        <v>Intermediate</v>
      </c>
    </row>
    <row r="103" spans="1:4" x14ac:dyDescent="0.3">
      <c r="A103" s="48"/>
      <c r="B103">
        <v>6</v>
      </c>
      <c r="C103">
        <v>0.38829380174180483</v>
      </c>
      <c r="D103" s="11" t="str">
        <f t="shared" si="1"/>
        <v>Intermediate</v>
      </c>
    </row>
    <row r="104" spans="1:4" x14ac:dyDescent="0.3">
      <c r="A104" s="48"/>
      <c r="B104">
        <v>7</v>
      </c>
      <c r="C104">
        <v>0.41702960806163653</v>
      </c>
      <c r="D104" s="11" t="str">
        <f t="shared" si="1"/>
        <v>Intermediate</v>
      </c>
    </row>
    <row r="105" spans="1:4" x14ac:dyDescent="0.3">
      <c r="A105" s="48"/>
      <c r="B105">
        <v>8</v>
      </c>
      <c r="C105">
        <v>0.46656417875872203</v>
      </c>
      <c r="D105" s="11" t="str">
        <f t="shared" si="1"/>
        <v>Intermediate</v>
      </c>
    </row>
    <row r="106" spans="1:4" x14ac:dyDescent="0.3">
      <c r="A106" s="48"/>
      <c r="B106">
        <v>9</v>
      </c>
      <c r="C106">
        <v>0.40604423036214254</v>
      </c>
      <c r="D106" s="11" t="str">
        <f t="shared" si="1"/>
        <v>Intermediate</v>
      </c>
    </row>
    <row r="107" spans="1:4" x14ac:dyDescent="0.3">
      <c r="A107" s="49"/>
      <c r="B107" s="7">
        <v>10</v>
      </c>
      <c r="C107" s="7">
        <v>0.31119247037396497</v>
      </c>
      <c r="D107" s="12" t="str">
        <f t="shared" si="1"/>
        <v>Intermediate</v>
      </c>
    </row>
    <row r="108" spans="1:4" x14ac:dyDescent="0.3">
      <c r="A108" s="47" t="s">
        <v>18</v>
      </c>
      <c r="B108" s="4">
        <v>1</v>
      </c>
      <c r="C108" s="4">
        <v>0.36872571586524217</v>
      </c>
      <c r="D108" s="10" t="str">
        <f t="shared" si="1"/>
        <v>Intermediate</v>
      </c>
    </row>
    <row r="109" spans="1:4" x14ac:dyDescent="0.3">
      <c r="A109" s="48"/>
      <c r="B109">
        <v>2</v>
      </c>
      <c r="C109">
        <v>0.36839314457345296</v>
      </c>
      <c r="D109" s="11" t="str">
        <f t="shared" si="1"/>
        <v>Intermediate</v>
      </c>
    </row>
    <row r="110" spans="1:4" x14ac:dyDescent="0.3">
      <c r="A110" s="48"/>
      <c r="B110">
        <v>3</v>
      </c>
      <c r="C110">
        <v>0.46066186845388107</v>
      </c>
      <c r="D110" s="11" t="str">
        <f t="shared" si="1"/>
        <v>Intermediate</v>
      </c>
    </row>
    <row r="111" spans="1:4" x14ac:dyDescent="0.3">
      <c r="A111" s="48"/>
      <c r="B111">
        <v>4</v>
      </c>
      <c r="C111">
        <v>0.56573792491941954</v>
      </c>
      <c r="D111" s="11" t="str">
        <f t="shared" si="1"/>
        <v>Intermediate</v>
      </c>
    </row>
    <row r="112" spans="1:4" x14ac:dyDescent="0.3">
      <c r="A112" s="48"/>
      <c r="B112">
        <v>5</v>
      </c>
      <c r="C112">
        <v>0.58174338614828924</v>
      </c>
      <c r="D112" s="11" t="str">
        <f t="shared" si="1"/>
        <v>Intermediate</v>
      </c>
    </row>
    <row r="113" spans="1:4" x14ac:dyDescent="0.3">
      <c r="A113" s="48"/>
      <c r="B113">
        <v>6</v>
      </c>
      <c r="C113">
        <v>0.58250744316486958</v>
      </c>
      <c r="D113" s="11" t="str">
        <f t="shared" si="1"/>
        <v>Intermediate</v>
      </c>
    </row>
    <row r="114" spans="1:4" x14ac:dyDescent="0.3">
      <c r="A114" s="48"/>
      <c r="B114">
        <v>7</v>
      </c>
      <c r="C114">
        <v>0.45647561992362307</v>
      </c>
      <c r="D114" s="11" t="str">
        <f t="shared" si="1"/>
        <v>Intermediate</v>
      </c>
    </row>
    <row r="115" spans="1:4" x14ac:dyDescent="0.3">
      <c r="A115" s="48"/>
      <c r="B115">
        <v>8</v>
      </c>
      <c r="C115">
        <v>0.55112221907134251</v>
      </c>
      <c r="D115" s="11" t="str">
        <f t="shared" si="1"/>
        <v>Intermediate</v>
      </c>
    </row>
    <row r="116" spans="1:4" x14ac:dyDescent="0.3">
      <c r="A116" s="48"/>
      <c r="B116">
        <v>9</v>
      </c>
      <c r="C116">
        <v>0.51250669340032728</v>
      </c>
      <c r="D116" s="11" t="str">
        <f t="shared" si="1"/>
        <v>Intermediate</v>
      </c>
    </row>
    <row r="117" spans="1:4" x14ac:dyDescent="0.3">
      <c r="A117" s="48"/>
      <c r="B117">
        <v>10</v>
      </c>
      <c r="C117">
        <v>0.44586873080348755</v>
      </c>
      <c r="D117" s="11" t="str">
        <f t="shared" si="1"/>
        <v>Intermediate</v>
      </c>
    </row>
    <row r="118" spans="1:4" x14ac:dyDescent="0.3">
      <c r="A118" s="48"/>
      <c r="B118">
        <v>11</v>
      </c>
      <c r="C118">
        <v>0.55945385048587892</v>
      </c>
      <c r="D118" s="11" t="str">
        <f t="shared" si="1"/>
        <v>Intermediate</v>
      </c>
    </row>
    <row r="119" spans="1:4" x14ac:dyDescent="0.3">
      <c r="A119" s="48"/>
      <c r="B119">
        <v>12</v>
      </c>
      <c r="C119">
        <v>0.46656417875872203</v>
      </c>
      <c r="D119" s="11" t="str">
        <f t="shared" si="1"/>
        <v>Intermediate</v>
      </c>
    </row>
    <row r="120" spans="1:4" x14ac:dyDescent="0.3">
      <c r="A120" s="48"/>
      <c r="B120">
        <v>13</v>
      </c>
      <c r="C120">
        <v>0.48180180611971835</v>
      </c>
      <c r="D120" s="11" t="str">
        <f t="shared" si="1"/>
        <v>Intermediate</v>
      </c>
    </row>
    <row r="121" spans="1:4" x14ac:dyDescent="0.3">
      <c r="A121" s="48"/>
      <c r="B121">
        <v>14</v>
      </c>
      <c r="C121">
        <v>0.46119247037396499</v>
      </c>
      <c r="D121" s="11" t="str">
        <f t="shared" si="1"/>
        <v>Intermediate</v>
      </c>
    </row>
    <row r="122" spans="1:4" x14ac:dyDescent="0.3">
      <c r="A122" s="49"/>
      <c r="B122" s="7">
        <v>15</v>
      </c>
      <c r="C122" s="7">
        <v>0.45909090909090899</v>
      </c>
      <c r="D122" s="12" t="str">
        <f t="shared" si="1"/>
        <v>Intermediate</v>
      </c>
    </row>
    <row r="123" spans="1:4" x14ac:dyDescent="0.3">
      <c r="A123" s="47" t="s">
        <v>19</v>
      </c>
      <c r="B123" s="4">
        <v>1</v>
      </c>
      <c r="C123" s="4">
        <v>0.20928062754871768</v>
      </c>
      <c r="D123" s="15" t="str">
        <f t="shared" si="1"/>
        <v>Bad</v>
      </c>
    </row>
    <row r="124" spans="1:4" x14ac:dyDescent="0.3">
      <c r="A124" s="48"/>
      <c r="B124">
        <v>2</v>
      </c>
      <c r="C124">
        <v>0.34393416640294039</v>
      </c>
      <c r="D124" s="11" t="str">
        <f t="shared" si="1"/>
        <v>Intermediate</v>
      </c>
    </row>
    <row r="125" spans="1:4" x14ac:dyDescent="0.3">
      <c r="A125" s="48"/>
      <c r="B125">
        <v>3</v>
      </c>
      <c r="C125">
        <v>0.30732672713692877</v>
      </c>
      <c r="D125" s="11" t="str">
        <f t="shared" si="1"/>
        <v>Intermediate</v>
      </c>
    </row>
    <row r="126" spans="1:4" x14ac:dyDescent="0.3">
      <c r="A126" s="48"/>
      <c r="B126">
        <v>4</v>
      </c>
      <c r="C126">
        <v>0.37854809803714701</v>
      </c>
      <c r="D126" s="11" t="str">
        <f t="shared" si="1"/>
        <v>Intermediate</v>
      </c>
    </row>
    <row r="127" spans="1:4" x14ac:dyDescent="0.3">
      <c r="A127" s="49"/>
      <c r="B127" s="7">
        <v>5</v>
      </c>
      <c r="C127" s="7">
        <v>0.32032539456127951</v>
      </c>
      <c r="D127" s="12" t="str">
        <f t="shared" si="1"/>
        <v>Intermediate</v>
      </c>
    </row>
    <row r="128" spans="1:4" x14ac:dyDescent="0.3">
      <c r="A128" s="47" t="s">
        <v>20</v>
      </c>
      <c r="B128" s="4">
        <v>1</v>
      </c>
      <c r="C128" s="4">
        <v>0.52973089473682589</v>
      </c>
      <c r="D128" s="10" t="str">
        <f t="shared" si="1"/>
        <v>Intermediate</v>
      </c>
    </row>
    <row r="129" spans="1:4" x14ac:dyDescent="0.3">
      <c r="A129" s="48"/>
      <c r="B129">
        <v>2</v>
      </c>
      <c r="C129">
        <v>0.48340433978771202</v>
      </c>
      <c r="D129" s="11" t="str">
        <f t="shared" si="1"/>
        <v>Intermediate</v>
      </c>
    </row>
    <row r="130" spans="1:4" x14ac:dyDescent="0.3">
      <c r="A130" s="48"/>
      <c r="B130">
        <v>3</v>
      </c>
      <c r="C130">
        <v>0.35815809338941007</v>
      </c>
      <c r="D130" s="11" t="str">
        <f t="shared" si="1"/>
        <v>Intermediate</v>
      </c>
    </row>
    <row r="131" spans="1:4" x14ac:dyDescent="0.3">
      <c r="A131" s="48"/>
      <c r="B131">
        <v>4</v>
      </c>
      <c r="C131">
        <v>0.35451889396136133</v>
      </c>
      <c r="D131" s="11" t="str">
        <f t="shared" si="1"/>
        <v>Intermediate</v>
      </c>
    </row>
    <row r="132" spans="1:4" x14ac:dyDescent="0.3">
      <c r="A132" s="48"/>
      <c r="B132">
        <v>5</v>
      </c>
      <c r="C132">
        <v>0.55912284774046472</v>
      </c>
      <c r="D132" s="11" t="str">
        <f t="shared" ref="D132:D182" si="2">IF(C132&lt;0.25, "Bad", IF(C132&lt;=0.75, "Intermediate", "Excellent"))</f>
        <v>Intermediate</v>
      </c>
    </row>
    <row r="133" spans="1:4" x14ac:dyDescent="0.3">
      <c r="A133" s="48"/>
      <c r="B133">
        <v>6</v>
      </c>
      <c r="C133">
        <v>0.37992015234008109</v>
      </c>
      <c r="D133" s="11" t="str">
        <f t="shared" si="2"/>
        <v>Intermediate</v>
      </c>
    </row>
    <row r="134" spans="1:4" x14ac:dyDescent="0.3">
      <c r="A134" s="48"/>
      <c r="B134">
        <v>7</v>
      </c>
      <c r="C134">
        <v>0.46798091632018074</v>
      </c>
      <c r="D134" s="11" t="str">
        <f t="shared" si="2"/>
        <v>Intermediate</v>
      </c>
    </row>
    <row r="135" spans="1:4" x14ac:dyDescent="0.3">
      <c r="A135" s="48"/>
      <c r="B135">
        <v>8</v>
      </c>
      <c r="C135">
        <v>0.42400264349169242</v>
      </c>
      <c r="D135" s="11" t="str">
        <f t="shared" si="2"/>
        <v>Intermediate</v>
      </c>
    </row>
    <row r="136" spans="1:4" x14ac:dyDescent="0.3">
      <c r="A136" s="48"/>
      <c r="B136">
        <v>9</v>
      </c>
      <c r="C136">
        <v>0.46540469687664354</v>
      </c>
      <c r="D136" s="11" t="str">
        <f t="shared" si="2"/>
        <v>Intermediate</v>
      </c>
    </row>
    <row r="137" spans="1:4" x14ac:dyDescent="0.3">
      <c r="A137" s="49"/>
      <c r="B137" s="7">
        <v>10</v>
      </c>
      <c r="C137" s="7">
        <v>0.24699521699271959</v>
      </c>
      <c r="D137" s="14" t="str">
        <f t="shared" si="2"/>
        <v>Bad</v>
      </c>
    </row>
    <row r="138" spans="1:4" x14ac:dyDescent="0.3">
      <c r="A138" s="47" t="s">
        <v>21</v>
      </c>
      <c r="B138" s="4">
        <v>1</v>
      </c>
      <c r="C138" s="4">
        <v>0.5751854401913713</v>
      </c>
      <c r="D138" s="10" t="str">
        <f t="shared" si="2"/>
        <v>Intermediate</v>
      </c>
    </row>
    <row r="139" spans="1:4" x14ac:dyDescent="0.3">
      <c r="A139" s="48"/>
      <c r="B139">
        <v>2</v>
      </c>
      <c r="C139">
        <v>0.47400797216930074</v>
      </c>
      <c r="D139" s="11" t="str">
        <f t="shared" si="2"/>
        <v>Intermediate</v>
      </c>
    </row>
    <row r="140" spans="1:4" x14ac:dyDescent="0.3">
      <c r="A140" s="48"/>
      <c r="B140">
        <v>3</v>
      </c>
      <c r="C140">
        <v>0.49933565912130057</v>
      </c>
      <c r="D140" s="11" t="str">
        <f t="shared" si="2"/>
        <v>Intermediate</v>
      </c>
    </row>
    <row r="141" spans="1:4" x14ac:dyDescent="0.3">
      <c r="A141" s="48"/>
      <c r="B141">
        <v>4</v>
      </c>
      <c r="C141">
        <v>0.37885557832177041</v>
      </c>
      <c r="D141" s="11" t="str">
        <f t="shared" si="2"/>
        <v>Intermediate</v>
      </c>
    </row>
    <row r="142" spans="1:4" x14ac:dyDescent="0.3">
      <c r="A142" s="48"/>
      <c r="B142">
        <v>5</v>
      </c>
      <c r="C142">
        <v>0.46215315077076774</v>
      </c>
      <c r="D142" s="11" t="str">
        <f t="shared" si="2"/>
        <v>Intermediate</v>
      </c>
    </row>
    <row r="143" spans="1:4" x14ac:dyDescent="0.3">
      <c r="A143" s="48"/>
      <c r="B143">
        <v>6</v>
      </c>
      <c r="C143">
        <v>0.33505876791037215</v>
      </c>
      <c r="D143" s="11" t="str">
        <f t="shared" si="2"/>
        <v>Intermediate</v>
      </c>
    </row>
    <row r="144" spans="1:4" x14ac:dyDescent="0.3">
      <c r="A144" s="48"/>
      <c r="B144">
        <v>7</v>
      </c>
      <c r="C144">
        <v>0.51173350599562095</v>
      </c>
      <c r="D144" s="11" t="str">
        <f t="shared" si="2"/>
        <v>Intermediate</v>
      </c>
    </row>
    <row r="145" spans="1:4" x14ac:dyDescent="0.3">
      <c r="A145" s="48"/>
      <c r="B145">
        <v>8</v>
      </c>
      <c r="C145">
        <v>0.40737485571412013</v>
      </c>
      <c r="D145" s="11" t="str">
        <f t="shared" si="2"/>
        <v>Intermediate</v>
      </c>
    </row>
    <row r="146" spans="1:4" x14ac:dyDescent="0.3">
      <c r="A146" s="48"/>
      <c r="B146">
        <v>9</v>
      </c>
      <c r="C146">
        <v>0.36221135152506845</v>
      </c>
      <c r="D146" s="11" t="str">
        <f t="shared" si="2"/>
        <v>Intermediate</v>
      </c>
    </row>
    <row r="147" spans="1:4" x14ac:dyDescent="0.3">
      <c r="A147" s="48"/>
      <c r="B147">
        <v>10</v>
      </c>
      <c r="C147">
        <v>0.43006324955229852</v>
      </c>
      <c r="D147" s="11" t="str">
        <f t="shared" si="2"/>
        <v>Intermediate</v>
      </c>
    </row>
    <row r="148" spans="1:4" x14ac:dyDescent="0.3">
      <c r="A148" s="48"/>
      <c r="B148">
        <v>11</v>
      </c>
      <c r="C148">
        <v>0.41074364105206329</v>
      </c>
      <c r="D148" s="11" t="str">
        <f t="shared" si="2"/>
        <v>Intermediate</v>
      </c>
    </row>
    <row r="149" spans="1:4" x14ac:dyDescent="0.3">
      <c r="A149" s="48"/>
      <c r="B149">
        <v>12</v>
      </c>
      <c r="C149">
        <v>0.38616223524289955</v>
      </c>
      <c r="D149" s="11" t="str">
        <f t="shared" si="2"/>
        <v>Intermediate</v>
      </c>
    </row>
    <row r="150" spans="1:4" x14ac:dyDescent="0.3">
      <c r="A150" s="48"/>
      <c r="B150">
        <v>13</v>
      </c>
      <c r="C150">
        <v>0.26820733820484083</v>
      </c>
      <c r="D150" s="11" t="str">
        <f t="shared" si="2"/>
        <v>Intermediate</v>
      </c>
    </row>
    <row r="151" spans="1:4" x14ac:dyDescent="0.3">
      <c r="A151" s="48"/>
      <c r="B151">
        <v>14</v>
      </c>
      <c r="C151">
        <v>0.30972856281278577</v>
      </c>
      <c r="D151" s="11" t="str">
        <f t="shared" si="2"/>
        <v>Intermediate</v>
      </c>
    </row>
    <row r="152" spans="1:4" x14ac:dyDescent="0.3">
      <c r="A152" s="49"/>
      <c r="B152" s="7">
        <v>15</v>
      </c>
      <c r="C152" s="7">
        <v>0.36716699085224191</v>
      </c>
      <c r="D152" s="12" t="str">
        <f t="shared" si="2"/>
        <v>Intermediate</v>
      </c>
    </row>
    <row r="153" spans="1:4" x14ac:dyDescent="0.3">
      <c r="A153" s="47" t="s">
        <v>22</v>
      </c>
      <c r="B153" s="4">
        <v>1</v>
      </c>
      <c r="C153" s="4">
        <v>0.24263894602631914</v>
      </c>
      <c r="D153" s="15" t="str">
        <f t="shared" si="2"/>
        <v>Bad</v>
      </c>
    </row>
    <row r="154" spans="1:4" x14ac:dyDescent="0.3">
      <c r="A154" s="48"/>
      <c r="B154">
        <v>2</v>
      </c>
      <c r="C154">
        <v>0.30627648569522825</v>
      </c>
      <c r="D154" s="11" t="str">
        <f t="shared" si="2"/>
        <v>Intermediate</v>
      </c>
    </row>
    <row r="155" spans="1:4" x14ac:dyDescent="0.3">
      <c r="A155" s="48"/>
      <c r="B155">
        <v>3</v>
      </c>
      <c r="C155">
        <v>0.37167319047370917</v>
      </c>
      <c r="D155" s="11" t="str">
        <f t="shared" si="2"/>
        <v>Intermediate</v>
      </c>
    </row>
    <row r="156" spans="1:4" x14ac:dyDescent="0.3">
      <c r="A156" s="48"/>
      <c r="B156">
        <v>4</v>
      </c>
      <c r="C156">
        <v>0.43021007888123808</v>
      </c>
      <c r="D156" s="11" t="str">
        <f t="shared" si="2"/>
        <v>Intermediate</v>
      </c>
    </row>
    <row r="157" spans="1:4" x14ac:dyDescent="0.3">
      <c r="A157" s="49"/>
      <c r="B157" s="7">
        <v>5</v>
      </c>
      <c r="C157" s="7">
        <v>0.43617219738216179</v>
      </c>
      <c r="D157" s="12" t="str">
        <f t="shared" si="2"/>
        <v>Intermediate</v>
      </c>
    </row>
    <row r="158" spans="1:4" x14ac:dyDescent="0.3">
      <c r="A158" s="47" t="s">
        <v>23</v>
      </c>
      <c r="B158" s="4">
        <v>1</v>
      </c>
      <c r="C158" s="4">
        <v>0.30670848023195973</v>
      </c>
      <c r="D158" s="10" t="str">
        <f t="shared" si="2"/>
        <v>Intermediate</v>
      </c>
    </row>
    <row r="159" spans="1:4" x14ac:dyDescent="0.3">
      <c r="A159" s="48"/>
      <c r="B159">
        <v>2</v>
      </c>
      <c r="C159">
        <v>0.34687345156475785</v>
      </c>
      <c r="D159" s="11" t="str">
        <f t="shared" si="2"/>
        <v>Intermediate</v>
      </c>
    </row>
    <row r="160" spans="1:4" x14ac:dyDescent="0.3">
      <c r="A160" s="48"/>
      <c r="B160">
        <v>3</v>
      </c>
      <c r="C160">
        <v>0.2493967978547196</v>
      </c>
      <c r="D160" s="13" t="str">
        <f t="shared" si="2"/>
        <v>Bad</v>
      </c>
    </row>
    <row r="161" spans="1:4" x14ac:dyDescent="0.3">
      <c r="A161" s="48"/>
      <c r="B161">
        <v>4</v>
      </c>
      <c r="C161">
        <v>0.54252209720791944</v>
      </c>
      <c r="D161" s="11" t="str">
        <f t="shared" si="2"/>
        <v>Intermediate</v>
      </c>
    </row>
    <row r="162" spans="1:4" x14ac:dyDescent="0.3">
      <c r="A162" s="48"/>
      <c r="B162">
        <v>5</v>
      </c>
      <c r="C162">
        <v>0.35652167532236556</v>
      </c>
      <c r="D162" s="11" t="str">
        <f t="shared" si="2"/>
        <v>Intermediate</v>
      </c>
    </row>
    <row r="163" spans="1:4" x14ac:dyDescent="0.3">
      <c r="A163" s="48"/>
      <c r="B163">
        <v>6</v>
      </c>
      <c r="C163">
        <v>0.42263432130574224</v>
      </c>
      <c r="D163" s="11" t="str">
        <f t="shared" si="2"/>
        <v>Intermediate</v>
      </c>
    </row>
    <row r="164" spans="1:4" x14ac:dyDescent="0.3">
      <c r="A164" s="48"/>
      <c r="B164">
        <v>7</v>
      </c>
      <c r="C164">
        <v>0.40282767040390455</v>
      </c>
      <c r="D164" s="11" t="str">
        <f t="shared" si="2"/>
        <v>Intermediate</v>
      </c>
    </row>
    <row r="165" spans="1:4" x14ac:dyDescent="0.3">
      <c r="A165" s="48"/>
      <c r="B165">
        <v>8</v>
      </c>
      <c r="C165">
        <v>0.41668310893260002</v>
      </c>
      <c r="D165" s="11" t="str">
        <f t="shared" si="2"/>
        <v>Intermediate</v>
      </c>
    </row>
    <row r="166" spans="1:4" x14ac:dyDescent="0.3">
      <c r="A166" s="48"/>
      <c r="B166">
        <v>9</v>
      </c>
      <c r="C166">
        <v>0.29369954986799585</v>
      </c>
      <c r="D166" s="11" t="str">
        <f t="shared" si="2"/>
        <v>Intermediate</v>
      </c>
    </row>
    <row r="167" spans="1:4" x14ac:dyDescent="0.3">
      <c r="A167" s="49"/>
      <c r="B167" s="7">
        <v>10</v>
      </c>
      <c r="C167" s="7">
        <v>0.50283886404920697</v>
      </c>
      <c r="D167" s="12" t="str">
        <f t="shared" si="2"/>
        <v>Intermediate</v>
      </c>
    </row>
    <row r="168" spans="1:4" x14ac:dyDescent="0.3">
      <c r="A168" s="47" t="s">
        <v>24</v>
      </c>
      <c r="B168" s="4">
        <v>1</v>
      </c>
      <c r="C168" s="4">
        <v>0.51590699402076112</v>
      </c>
      <c r="D168" s="10" t="str">
        <f t="shared" si="2"/>
        <v>Intermediate</v>
      </c>
    </row>
    <row r="169" spans="1:4" x14ac:dyDescent="0.3">
      <c r="A169" s="48"/>
      <c r="B169">
        <v>2</v>
      </c>
      <c r="C169">
        <v>0.45382092974068083</v>
      </c>
      <c r="D169" s="11" t="str">
        <f t="shared" si="2"/>
        <v>Intermediate</v>
      </c>
    </row>
    <row r="170" spans="1:4" x14ac:dyDescent="0.3">
      <c r="A170" s="48"/>
      <c r="B170">
        <v>3</v>
      </c>
      <c r="C170">
        <v>0.40818618111949068</v>
      </c>
      <c r="D170" s="11" t="str">
        <f t="shared" si="2"/>
        <v>Intermediate</v>
      </c>
    </row>
    <row r="171" spans="1:4" x14ac:dyDescent="0.3">
      <c r="A171" s="48"/>
      <c r="B171">
        <v>4</v>
      </c>
      <c r="C171">
        <v>0.26532676277663148</v>
      </c>
      <c r="D171" s="11" t="str">
        <f t="shared" si="2"/>
        <v>Intermediate</v>
      </c>
    </row>
    <row r="172" spans="1:4" x14ac:dyDescent="0.3">
      <c r="A172" s="48"/>
      <c r="B172">
        <v>5</v>
      </c>
      <c r="C172">
        <v>0.28889232822989874</v>
      </c>
      <c r="D172" s="11" t="str">
        <f t="shared" si="2"/>
        <v>Intermediate</v>
      </c>
    </row>
    <row r="173" spans="1:4" x14ac:dyDescent="0.3">
      <c r="A173" s="48"/>
      <c r="B173">
        <v>6</v>
      </c>
      <c r="C173">
        <v>0.49100694569276793</v>
      </c>
      <c r="D173" s="11" t="str">
        <f t="shared" si="2"/>
        <v>Intermediate</v>
      </c>
    </row>
    <row r="174" spans="1:4" x14ac:dyDescent="0.3">
      <c r="A174" s="48"/>
      <c r="B174">
        <v>7</v>
      </c>
      <c r="C174">
        <v>0.44595173052406223</v>
      </c>
      <c r="D174" s="11" t="str">
        <f t="shared" si="2"/>
        <v>Intermediate</v>
      </c>
    </row>
    <row r="175" spans="1:4" x14ac:dyDescent="0.3">
      <c r="A175" s="48"/>
      <c r="B175">
        <v>8</v>
      </c>
      <c r="C175">
        <v>0.342885311686002</v>
      </c>
      <c r="D175" s="11" t="str">
        <f t="shared" si="2"/>
        <v>Intermediate</v>
      </c>
    </row>
    <row r="176" spans="1:4" x14ac:dyDescent="0.3">
      <c r="A176" s="48"/>
      <c r="B176">
        <v>9</v>
      </c>
      <c r="C176">
        <v>0.47566462433604528</v>
      </c>
      <c r="D176" s="11" t="str">
        <f t="shared" si="2"/>
        <v>Intermediate</v>
      </c>
    </row>
    <row r="177" spans="1:4" x14ac:dyDescent="0.3">
      <c r="A177" s="48"/>
      <c r="B177">
        <v>10</v>
      </c>
      <c r="C177">
        <v>0.36079215111400276</v>
      </c>
      <c r="D177" s="11" t="str">
        <f t="shared" si="2"/>
        <v>Intermediate</v>
      </c>
    </row>
    <row r="178" spans="1:4" x14ac:dyDescent="0.3">
      <c r="A178" s="48"/>
      <c r="B178">
        <v>11</v>
      </c>
      <c r="C178">
        <v>0.34222160979784394</v>
      </c>
      <c r="D178" s="11" t="str">
        <f t="shared" si="2"/>
        <v>Intermediate</v>
      </c>
    </row>
    <row r="179" spans="1:4" x14ac:dyDescent="0.3">
      <c r="A179" s="48"/>
      <c r="B179">
        <v>12</v>
      </c>
      <c r="C179">
        <v>0.37768306615553715</v>
      </c>
      <c r="D179" s="11" t="str">
        <f t="shared" si="2"/>
        <v>Intermediate</v>
      </c>
    </row>
    <row r="180" spans="1:4" x14ac:dyDescent="0.3">
      <c r="A180" s="48"/>
      <c r="B180">
        <v>13</v>
      </c>
      <c r="C180">
        <v>0.35001644226593337</v>
      </c>
      <c r="D180" s="11" t="str">
        <f t="shared" si="2"/>
        <v>Intermediate</v>
      </c>
    </row>
    <row r="181" spans="1:4" x14ac:dyDescent="0.3">
      <c r="A181" s="48"/>
      <c r="B181">
        <v>14</v>
      </c>
      <c r="C181">
        <v>0.24976015592860193</v>
      </c>
      <c r="D181" s="13" t="str">
        <f t="shared" si="2"/>
        <v>Bad</v>
      </c>
    </row>
    <row r="182" spans="1:4" x14ac:dyDescent="0.3">
      <c r="A182" s="49"/>
      <c r="B182" s="7">
        <v>15</v>
      </c>
      <c r="C182" s="7">
        <v>0.45889947010981302</v>
      </c>
      <c r="D182" s="12" t="str">
        <f t="shared" si="2"/>
        <v>Intermediate</v>
      </c>
    </row>
    <row r="184" spans="1:4" x14ac:dyDescent="0.3">
      <c r="A184" s="3"/>
    </row>
    <row r="185" spans="1:4" x14ac:dyDescent="0.3">
      <c r="A185" s="3"/>
    </row>
    <row r="186" spans="1:4" x14ac:dyDescent="0.3">
      <c r="A186" s="3"/>
    </row>
    <row r="187" spans="1:4" x14ac:dyDescent="0.3">
      <c r="A187" s="3"/>
    </row>
    <row r="188" spans="1:4" x14ac:dyDescent="0.3">
      <c r="A188" s="3"/>
    </row>
    <row r="189" spans="1:4" x14ac:dyDescent="0.3">
      <c r="A189" s="3"/>
    </row>
    <row r="191" spans="1:4" x14ac:dyDescent="0.3">
      <c r="A191" s="3"/>
    </row>
    <row r="192" spans="1:4" x14ac:dyDescent="0.3">
      <c r="A192" s="3"/>
    </row>
    <row r="193" spans="1:1" x14ac:dyDescent="0.3">
      <c r="A193" s="3"/>
    </row>
    <row r="194" spans="1:1" x14ac:dyDescent="0.3">
      <c r="A194" s="3"/>
    </row>
    <row r="195" spans="1:1" x14ac:dyDescent="0.3">
      <c r="A195" s="3"/>
    </row>
    <row r="196" spans="1:1" x14ac:dyDescent="0.3">
      <c r="A196" s="3"/>
    </row>
    <row r="197" spans="1:1" x14ac:dyDescent="0.3">
      <c r="A197" s="3"/>
    </row>
    <row r="198" spans="1:1" x14ac:dyDescent="0.3">
      <c r="A198" s="3"/>
    </row>
    <row r="199" spans="1:1" x14ac:dyDescent="0.3">
      <c r="A199" s="3"/>
    </row>
    <row r="200" spans="1:1" x14ac:dyDescent="0.3">
      <c r="A200" s="3"/>
    </row>
    <row r="201" spans="1:1" x14ac:dyDescent="0.3">
      <c r="A201" s="3"/>
    </row>
    <row r="203" spans="1:1" x14ac:dyDescent="0.3">
      <c r="A203" s="3"/>
    </row>
    <row r="204" spans="1:1" x14ac:dyDescent="0.3">
      <c r="A204" s="3"/>
    </row>
    <row r="205" spans="1:1" x14ac:dyDescent="0.3">
      <c r="A205" s="3"/>
    </row>
    <row r="206" spans="1:1" x14ac:dyDescent="0.3">
      <c r="A206" s="3"/>
    </row>
    <row r="207" spans="1:1" x14ac:dyDescent="0.3">
      <c r="A207" s="3"/>
    </row>
    <row r="208" spans="1:1" x14ac:dyDescent="0.3">
      <c r="A208" s="3"/>
    </row>
    <row r="209" spans="1:1" x14ac:dyDescent="0.3">
      <c r="A209" s="3"/>
    </row>
    <row r="210" spans="1:1" x14ac:dyDescent="0.3">
      <c r="A210" s="3"/>
    </row>
    <row r="211" spans="1:1" x14ac:dyDescent="0.3">
      <c r="A211" s="3"/>
    </row>
    <row r="212" spans="1:1" x14ac:dyDescent="0.3">
      <c r="A212" s="3"/>
    </row>
    <row r="213" spans="1:1" x14ac:dyDescent="0.3">
      <c r="A213" s="3"/>
    </row>
    <row r="214" spans="1:1" x14ac:dyDescent="0.3">
      <c r="A214" s="3"/>
    </row>
    <row r="215" spans="1:1" x14ac:dyDescent="0.3">
      <c r="A215" s="3"/>
    </row>
    <row r="216" spans="1:1" x14ac:dyDescent="0.3">
      <c r="A216" s="3"/>
    </row>
    <row r="217" spans="1:1" x14ac:dyDescent="0.3">
      <c r="A217" s="3"/>
    </row>
    <row r="218" spans="1:1" x14ac:dyDescent="0.3">
      <c r="A218" s="3"/>
    </row>
    <row r="220" spans="1:1" x14ac:dyDescent="0.3">
      <c r="A220" s="3"/>
    </row>
    <row r="221" spans="1:1" x14ac:dyDescent="0.3">
      <c r="A221" s="3"/>
    </row>
    <row r="222" spans="1:1" x14ac:dyDescent="0.3">
      <c r="A222" s="3"/>
    </row>
    <row r="223" spans="1:1" x14ac:dyDescent="0.3">
      <c r="A223" s="3"/>
    </row>
    <row r="224" spans="1:1" x14ac:dyDescent="0.3">
      <c r="A224" s="3"/>
    </row>
    <row r="225" spans="1:1" x14ac:dyDescent="0.3">
      <c r="A225" s="3"/>
    </row>
    <row r="227" spans="1:1" x14ac:dyDescent="0.3">
      <c r="A227" s="3"/>
    </row>
    <row r="228" spans="1:1" x14ac:dyDescent="0.3">
      <c r="A228" s="3"/>
    </row>
    <row r="229" spans="1:1" x14ac:dyDescent="0.3">
      <c r="A229" s="3"/>
    </row>
    <row r="230" spans="1:1" x14ac:dyDescent="0.3">
      <c r="A230" s="3"/>
    </row>
    <row r="231" spans="1:1" x14ac:dyDescent="0.3">
      <c r="A231" s="3"/>
    </row>
    <row r="232" spans="1:1" x14ac:dyDescent="0.3">
      <c r="A232" s="3"/>
    </row>
    <row r="233" spans="1:1" x14ac:dyDescent="0.3">
      <c r="A233" s="3"/>
    </row>
    <row r="234" spans="1:1" x14ac:dyDescent="0.3">
      <c r="A234" s="3"/>
    </row>
    <row r="235" spans="1:1" x14ac:dyDescent="0.3">
      <c r="A235" s="3"/>
    </row>
    <row r="236" spans="1:1" x14ac:dyDescent="0.3">
      <c r="A236" s="3"/>
    </row>
    <row r="237" spans="1:1" x14ac:dyDescent="0.3">
      <c r="A237" s="3"/>
    </row>
    <row r="239" spans="1:1" x14ac:dyDescent="0.3">
      <c r="A239" s="3"/>
    </row>
    <row r="240" spans="1:1" x14ac:dyDescent="0.3">
      <c r="A240" s="3"/>
    </row>
    <row r="241" spans="1:1" x14ac:dyDescent="0.3">
      <c r="A241" s="3"/>
    </row>
    <row r="242" spans="1:1" x14ac:dyDescent="0.3">
      <c r="A242" s="3"/>
    </row>
    <row r="243" spans="1:1" x14ac:dyDescent="0.3">
      <c r="A243" s="3"/>
    </row>
    <row r="244" spans="1:1" x14ac:dyDescent="0.3">
      <c r="A244" s="3"/>
    </row>
    <row r="245" spans="1:1" x14ac:dyDescent="0.3">
      <c r="A245" s="3"/>
    </row>
    <row r="246" spans="1:1" x14ac:dyDescent="0.3">
      <c r="A246" s="3"/>
    </row>
    <row r="247" spans="1:1" x14ac:dyDescent="0.3">
      <c r="A247" s="3"/>
    </row>
    <row r="248" spans="1:1" x14ac:dyDescent="0.3">
      <c r="A248" s="3"/>
    </row>
    <row r="249" spans="1:1" x14ac:dyDescent="0.3">
      <c r="A249" s="3"/>
    </row>
    <row r="250" spans="1:1" x14ac:dyDescent="0.3">
      <c r="A250" s="3"/>
    </row>
    <row r="251" spans="1:1" x14ac:dyDescent="0.3">
      <c r="A251" s="3"/>
    </row>
    <row r="252" spans="1:1" x14ac:dyDescent="0.3">
      <c r="A252" s="3"/>
    </row>
    <row r="253" spans="1:1" x14ac:dyDescent="0.3">
      <c r="A253" s="3"/>
    </row>
    <row r="254" spans="1:1" x14ac:dyDescent="0.3">
      <c r="A254" s="3"/>
    </row>
  </sheetData>
  <mergeCells count="18">
    <mergeCell ref="A153:A157"/>
    <mergeCell ref="A158:A167"/>
    <mergeCell ref="A168:A182"/>
    <mergeCell ref="A93:A97"/>
    <mergeCell ref="A98:A107"/>
    <mergeCell ref="A108:A122"/>
    <mergeCell ref="A123:A127"/>
    <mergeCell ref="A128:A137"/>
    <mergeCell ref="A138:A152"/>
    <mergeCell ref="A78:A92"/>
    <mergeCell ref="A3:A7"/>
    <mergeCell ref="A8:A17"/>
    <mergeCell ref="A18:A32"/>
    <mergeCell ref="A33:A37"/>
    <mergeCell ref="A38:A47"/>
    <mergeCell ref="A48:A62"/>
    <mergeCell ref="A63:A67"/>
    <mergeCell ref="A68:A7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65D5A-496F-4CCB-91A9-555C8B90305B}">
  <dimension ref="A1:H52"/>
  <sheetViews>
    <sheetView workbookViewId="0">
      <selection activeCell="A3" sqref="A3:H20"/>
    </sheetView>
  </sheetViews>
  <sheetFormatPr defaultRowHeight="14.4" x14ac:dyDescent="0.3"/>
  <cols>
    <col min="1" max="1" width="9.5546875" bestFit="1" customWidth="1"/>
    <col min="2" max="2" width="6.5546875" customWidth="1"/>
    <col min="3" max="3" width="11.21875" bestFit="1" customWidth="1"/>
    <col min="4" max="4" width="14.77734375" customWidth="1"/>
    <col min="5" max="5" width="7.109375" bestFit="1" customWidth="1"/>
    <col min="6" max="6" width="11.21875" bestFit="1" customWidth="1"/>
    <col min="7" max="7" width="18.109375" customWidth="1"/>
    <col min="8" max="8" width="37.44140625" bestFit="1" customWidth="1"/>
  </cols>
  <sheetData>
    <row r="1" spans="1:8" x14ac:dyDescent="0.3">
      <c r="A1" s="51" t="s">
        <v>0</v>
      </c>
      <c r="B1" s="50" t="s">
        <v>39</v>
      </c>
      <c r="C1" s="50"/>
      <c r="D1" s="50"/>
      <c r="E1" s="50" t="s">
        <v>40</v>
      </c>
      <c r="F1" s="50"/>
      <c r="G1" s="50"/>
      <c r="H1" s="52" t="s">
        <v>42</v>
      </c>
    </row>
    <row r="2" spans="1:8" x14ac:dyDescent="0.3">
      <c r="A2" s="51"/>
      <c r="B2" s="18" t="s">
        <v>36</v>
      </c>
      <c r="C2" s="19" t="s">
        <v>37</v>
      </c>
      <c r="D2" s="20" t="s">
        <v>38</v>
      </c>
      <c r="E2" s="18" t="s">
        <v>36</v>
      </c>
      <c r="F2" s="19" t="s">
        <v>37</v>
      </c>
      <c r="G2" s="20" t="s">
        <v>38</v>
      </c>
      <c r="H2" s="52"/>
    </row>
    <row r="3" spans="1:8" x14ac:dyDescent="0.3">
      <c r="A3" s="21" t="s">
        <v>5</v>
      </c>
      <c r="B3" s="21">
        <v>0</v>
      </c>
      <c r="C3" s="21">
        <v>2501.75</v>
      </c>
      <c r="D3" s="21">
        <v>0</v>
      </c>
      <c r="E3" s="23">
        <v>0</v>
      </c>
      <c r="F3" s="23">
        <v>1</v>
      </c>
      <c r="G3" s="23">
        <v>0</v>
      </c>
      <c r="H3" s="22">
        <f>G3-E3</f>
        <v>0</v>
      </c>
    </row>
    <row r="4" spans="1:8" x14ac:dyDescent="0.3">
      <c r="A4" s="21" t="s">
        <v>6</v>
      </c>
      <c r="B4" s="21">
        <v>0</v>
      </c>
      <c r="C4" s="21">
        <v>2501.75</v>
      </c>
      <c r="D4" s="21">
        <v>0</v>
      </c>
      <c r="E4" s="23">
        <v>0</v>
      </c>
      <c r="F4" s="23">
        <f>F3/(F3+E3+G3)</f>
        <v>1</v>
      </c>
      <c r="G4" s="23">
        <f>G3/(G3+F3+E3)</f>
        <v>0</v>
      </c>
      <c r="H4" s="22">
        <f t="shared" ref="H4:H20" si="0">G4-E4</f>
        <v>0</v>
      </c>
    </row>
    <row r="5" spans="1:8" x14ac:dyDescent="0.3">
      <c r="A5" s="21" t="s">
        <v>7</v>
      </c>
      <c r="B5" s="21">
        <v>0</v>
      </c>
      <c r="C5" s="21">
        <v>2501.75</v>
      </c>
      <c r="D5" s="21">
        <v>0</v>
      </c>
      <c r="E5" s="23">
        <v>0</v>
      </c>
      <c r="F5" s="23">
        <v>1</v>
      </c>
      <c r="G5" s="23">
        <v>0</v>
      </c>
      <c r="H5" s="22">
        <f t="shared" si="0"/>
        <v>0</v>
      </c>
    </row>
    <row r="6" spans="1:8" x14ac:dyDescent="0.3">
      <c r="A6" s="21" t="s">
        <v>8</v>
      </c>
      <c r="B6" s="21">
        <v>0</v>
      </c>
      <c r="C6" s="21">
        <v>2501.75</v>
      </c>
      <c r="D6" s="21">
        <v>0</v>
      </c>
      <c r="E6" s="23">
        <v>0</v>
      </c>
      <c r="F6" s="23">
        <v>1</v>
      </c>
      <c r="G6" s="23">
        <v>0</v>
      </c>
      <c r="H6" s="22">
        <f t="shared" si="0"/>
        <v>0</v>
      </c>
    </row>
    <row r="7" spans="1:8" x14ac:dyDescent="0.3">
      <c r="A7" s="21" t="s">
        <v>9</v>
      </c>
      <c r="B7" s="21">
        <v>131.5</v>
      </c>
      <c r="C7" s="21">
        <v>2370.25</v>
      </c>
      <c r="D7" s="21">
        <v>0</v>
      </c>
      <c r="E7" s="23">
        <v>5.2563205755970822E-2</v>
      </c>
      <c r="F7" s="23">
        <v>0.94743679424402916</v>
      </c>
      <c r="G7" s="23">
        <v>0</v>
      </c>
      <c r="H7" s="22">
        <f t="shared" si="0"/>
        <v>-5.2563205755970822E-2</v>
      </c>
    </row>
    <row r="8" spans="1:8" x14ac:dyDescent="0.3">
      <c r="A8" s="21" t="s">
        <v>10</v>
      </c>
      <c r="B8" s="21">
        <v>0</v>
      </c>
      <c r="C8" s="21">
        <v>2501.75</v>
      </c>
      <c r="D8" s="21">
        <v>0</v>
      </c>
      <c r="E8" s="23">
        <v>0</v>
      </c>
      <c r="F8" s="23">
        <v>1</v>
      </c>
      <c r="G8" s="23">
        <v>0</v>
      </c>
      <c r="H8" s="22">
        <f t="shared" si="0"/>
        <v>0</v>
      </c>
    </row>
    <row r="9" spans="1:8" x14ac:dyDescent="0.3">
      <c r="A9" s="21" t="s">
        <v>11</v>
      </c>
      <c r="B9" s="21">
        <v>0</v>
      </c>
      <c r="C9" s="21">
        <v>2608.27</v>
      </c>
      <c r="D9" s="21">
        <v>0</v>
      </c>
      <c r="E9" s="23">
        <v>0</v>
      </c>
      <c r="F9" s="23">
        <v>1</v>
      </c>
      <c r="G9" s="23">
        <v>0</v>
      </c>
      <c r="H9" s="22">
        <f t="shared" si="0"/>
        <v>0</v>
      </c>
    </row>
    <row r="10" spans="1:8" x14ac:dyDescent="0.3">
      <c r="A10" s="21" t="s">
        <v>12</v>
      </c>
      <c r="B10" s="21">
        <v>0</v>
      </c>
      <c r="C10" s="21">
        <v>2608.2699999999995</v>
      </c>
      <c r="D10" s="21">
        <v>0</v>
      </c>
      <c r="E10" s="23">
        <v>0</v>
      </c>
      <c r="F10" s="23">
        <v>1</v>
      </c>
      <c r="G10" s="23">
        <v>0</v>
      </c>
      <c r="H10" s="22">
        <f t="shared" si="0"/>
        <v>0</v>
      </c>
    </row>
    <row r="11" spans="1:8" x14ac:dyDescent="0.3">
      <c r="A11" s="21" t="s">
        <v>13</v>
      </c>
      <c r="B11" s="21">
        <v>0</v>
      </c>
      <c r="C11" s="21">
        <v>2608.27</v>
      </c>
      <c r="D11" s="21">
        <v>0</v>
      </c>
      <c r="E11" s="23">
        <v>0</v>
      </c>
      <c r="F11" s="23">
        <v>1</v>
      </c>
      <c r="G11" s="23">
        <v>0</v>
      </c>
      <c r="H11" s="22">
        <f t="shared" si="0"/>
        <v>0</v>
      </c>
    </row>
    <row r="12" spans="1:8" x14ac:dyDescent="0.3">
      <c r="A12" s="21" t="s">
        <v>16</v>
      </c>
      <c r="B12" s="21">
        <v>11.27</v>
      </c>
      <c r="C12" s="21">
        <v>2597</v>
      </c>
      <c r="D12" s="21">
        <v>0</v>
      </c>
      <c r="E12" s="23">
        <v>4.3208716888972383E-3</v>
      </c>
      <c r="F12" s="23">
        <v>0.99567912831110272</v>
      </c>
      <c r="G12" s="23">
        <v>0</v>
      </c>
      <c r="H12" s="22">
        <f t="shared" si="0"/>
        <v>-4.3208716888972383E-3</v>
      </c>
    </row>
    <row r="13" spans="1:8" x14ac:dyDescent="0.3">
      <c r="A13" s="21" t="s">
        <v>17</v>
      </c>
      <c r="B13" s="21">
        <v>207.76</v>
      </c>
      <c r="C13" s="21">
        <v>2400.5100000000002</v>
      </c>
      <c r="D13" s="21">
        <v>0</v>
      </c>
      <c r="E13" s="23">
        <v>7.9654330264888204E-2</v>
      </c>
      <c r="F13" s="23">
        <v>0.92034566973511167</v>
      </c>
      <c r="G13" s="23">
        <v>0</v>
      </c>
      <c r="H13" s="22">
        <f t="shared" si="0"/>
        <v>-7.9654330264888204E-2</v>
      </c>
    </row>
    <row r="14" spans="1:8" x14ac:dyDescent="0.3">
      <c r="A14" s="21" t="s">
        <v>18</v>
      </c>
      <c r="B14" s="21">
        <v>0</v>
      </c>
      <c r="C14" s="21">
        <v>2608.2699999999995</v>
      </c>
      <c r="D14" s="21">
        <v>0</v>
      </c>
      <c r="E14" s="23">
        <v>0</v>
      </c>
      <c r="F14" s="23">
        <v>1</v>
      </c>
      <c r="G14" s="23">
        <v>0</v>
      </c>
      <c r="H14" s="22">
        <f t="shared" si="0"/>
        <v>0</v>
      </c>
    </row>
    <row r="15" spans="1:8" x14ac:dyDescent="0.3">
      <c r="A15" s="21" t="s">
        <v>19</v>
      </c>
      <c r="B15" s="21">
        <v>404</v>
      </c>
      <c r="C15" s="21">
        <v>2141</v>
      </c>
      <c r="D15" s="21">
        <v>0</v>
      </c>
      <c r="E15" s="23">
        <v>0.15874263261296659</v>
      </c>
      <c r="F15" s="23">
        <v>0.84125736738703338</v>
      </c>
      <c r="G15" s="23">
        <v>0</v>
      </c>
      <c r="H15" s="22">
        <f t="shared" si="0"/>
        <v>-0.15874263261296659</v>
      </c>
    </row>
    <row r="16" spans="1:8" x14ac:dyDescent="0.3">
      <c r="A16" s="21" t="s">
        <v>20</v>
      </c>
      <c r="B16" s="21">
        <v>188</v>
      </c>
      <c r="C16" s="21">
        <v>2357</v>
      </c>
      <c r="D16" s="21">
        <v>0</v>
      </c>
      <c r="E16" s="23">
        <v>7.3870333988212175E-2</v>
      </c>
      <c r="F16" s="23">
        <v>0.92612966601178781</v>
      </c>
      <c r="G16" s="23">
        <v>0</v>
      </c>
      <c r="H16" s="22">
        <f t="shared" si="0"/>
        <v>-7.3870333988212175E-2</v>
      </c>
    </row>
    <row r="17" spans="1:8" x14ac:dyDescent="0.3">
      <c r="A17" s="21" t="s">
        <v>21</v>
      </c>
      <c r="B17" s="21">
        <v>0</v>
      </c>
      <c r="C17" s="21">
        <v>2545</v>
      </c>
      <c r="D17" s="21">
        <v>0</v>
      </c>
      <c r="E17" s="23">
        <v>0</v>
      </c>
      <c r="F17" s="23">
        <v>1</v>
      </c>
      <c r="G17" s="23">
        <v>0</v>
      </c>
      <c r="H17" s="22">
        <f t="shared" si="0"/>
        <v>0</v>
      </c>
    </row>
    <row r="18" spans="1:8" x14ac:dyDescent="0.3">
      <c r="A18" s="21" t="s">
        <v>22</v>
      </c>
      <c r="B18" s="21">
        <v>722</v>
      </c>
      <c r="C18" s="21">
        <v>1823</v>
      </c>
      <c r="D18" s="21">
        <v>0</v>
      </c>
      <c r="E18" s="23">
        <v>0.28369351669941062</v>
      </c>
      <c r="F18" s="23">
        <v>0.71630648330058944</v>
      </c>
      <c r="G18" s="23">
        <v>0</v>
      </c>
      <c r="H18" s="22">
        <f t="shared" si="0"/>
        <v>-0.28369351669941062</v>
      </c>
    </row>
    <row r="19" spans="1:8" x14ac:dyDescent="0.3">
      <c r="A19" s="21" t="s">
        <v>23</v>
      </c>
      <c r="B19" s="21">
        <v>73</v>
      </c>
      <c r="C19" s="21">
        <v>2472</v>
      </c>
      <c r="D19" s="21">
        <v>0</v>
      </c>
      <c r="E19" s="23">
        <v>2.8683693516699412E-2</v>
      </c>
      <c r="F19" s="23">
        <v>0.97131630648330058</v>
      </c>
      <c r="G19" s="23">
        <v>0</v>
      </c>
      <c r="H19" s="22">
        <f t="shared" si="0"/>
        <v>-2.8683693516699412E-2</v>
      </c>
    </row>
    <row r="20" spans="1:8" x14ac:dyDescent="0.3">
      <c r="A20" s="21" t="s">
        <v>24</v>
      </c>
      <c r="B20" s="21">
        <v>56</v>
      </c>
      <c r="C20" s="21">
        <v>2489</v>
      </c>
      <c r="D20" s="21">
        <v>0</v>
      </c>
      <c r="E20" s="23">
        <v>2.2003929273084481E-2</v>
      </c>
      <c r="F20" s="23">
        <v>0.97799607072691552</v>
      </c>
      <c r="G20" s="23">
        <v>0</v>
      </c>
      <c r="H20" s="22">
        <f t="shared" si="0"/>
        <v>-2.2003929273084481E-2</v>
      </c>
    </row>
    <row r="21" spans="1:8" x14ac:dyDescent="0.3">
      <c r="A21" s="21"/>
      <c r="B21" s="21"/>
      <c r="C21" s="21"/>
      <c r="D21" s="21"/>
      <c r="E21" s="21"/>
      <c r="F21" s="21"/>
      <c r="G21" s="21"/>
    </row>
    <row r="22" spans="1:8" x14ac:dyDescent="0.3">
      <c r="A22" s="21"/>
      <c r="B22" s="21"/>
      <c r="C22" s="21"/>
      <c r="D22" s="21"/>
      <c r="E22" s="21"/>
      <c r="F22" s="21"/>
      <c r="G22" s="21"/>
    </row>
    <row r="23" spans="1:8" x14ac:dyDescent="0.3">
      <c r="A23" s="21"/>
      <c r="B23" s="21"/>
      <c r="C23" s="21"/>
      <c r="D23" s="21"/>
      <c r="E23" s="21"/>
      <c r="F23" s="21"/>
      <c r="G23" s="21"/>
    </row>
    <row r="24" spans="1:8" x14ac:dyDescent="0.3">
      <c r="A24" s="21"/>
      <c r="B24" s="21"/>
      <c r="C24" s="21"/>
      <c r="D24" s="21"/>
      <c r="E24" s="21"/>
      <c r="F24" s="21"/>
      <c r="G24" s="21"/>
    </row>
    <row r="25" spans="1:8" x14ac:dyDescent="0.3">
      <c r="A25" s="21"/>
      <c r="B25" s="21"/>
      <c r="C25" s="21"/>
      <c r="D25" s="21"/>
      <c r="E25" s="21"/>
      <c r="F25" s="21"/>
      <c r="G25" s="21"/>
    </row>
    <row r="26" spans="1:8" x14ac:dyDescent="0.3">
      <c r="A26" s="21"/>
      <c r="B26" s="21"/>
      <c r="C26" s="21"/>
      <c r="D26" s="21"/>
      <c r="E26" s="21"/>
      <c r="F26" s="21"/>
      <c r="G26" s="21"/>
    </row>
    <row r="27" spans="1:8" x14ac:dyDescent="0.3">
      <c r="A27" s="21"/>
      <c r="B27" s="21"/>
      <c r="C27" s="21"/>
      <c r="D27" s="21"/>
      <c r="E27" s="21"/>
      <c r="F27" s="21"/>
      <c r="G27" s="21"/>
    </row>
    <row r="28" spans="1:8" x14ac:dyDescent="0.3">
      <c r="A28" s="21"/>
      <c r="B28" s="21"/>
      <c r="C28" s="21"/>
      <c r="D28" s="21"/>
      <c r="E28" s="21"/>
      <c r="F28" s="21"/>
      <c r="G28" s="21"/>
    </row>
    <row r="29" spans="1:8" x14ac:dyDescent="0.3">
      <c r="A29" s="21"/>
      <c r="B29" s="21"/>
      <c r="C29" s="21"/>
      <c r="D29" s="21"/>
      <c r="E29" s="21"/>
      <c r="F29" s="21"/>
      <c r="G29" s="21"/>
    </row>
    <row r="30" spans="1:8" x14ac:dyDescent="0.3">
      <c r="A30" s="21"/>
      <c r="B30" s="21"/>
      <c r="C30" s="21"/>
      <c r="D30" s="21"/>
      <c r="E30" s="21"/>
      <c r="F30" s="21"/>
      <c r="G30" s="21"/>
    </row>
    <row r="31" spans="1:8" x14ac:dyDescent="0.3">
      <c r="A31" s="21"/>
      <c r="B31" s="21"/>
      <c r="C31" s="21"/>
      <c r="D31" s="21"/>
      <c r="E31" s="21"/>
      <c r="F31" s="21"/>
      <c r="G31" s="21"/>
    </row>
    <row r="32" spans="1:8" x14ac:dyDescent="0.3">
      <c r="A32" s="21"/>
      <c r="B32" s="21"/>
      <c r="C32" s="21"/>
      <c r="D32" s="21"/>
      <c r="E32" s="21"/>
      <c r="F32" s="21"/>
      <c r="G32" s="21"/>
    </row>
    <row r="33" spans="1:7" x14ac:dyDescent="0.3">
      <c r="A33" s="21"/>
      <c r="B33" s="21"/>
      <c r="C33" s="21"/>
      <c r="D33" s="21"/>
      <c r="E33" s="21"/>
      <c r="F33" s="21"/>
      <c r="G33" s="21"/>
    </row>
    <row r="34" spans="1:7" x14ac:dyDescent="0.3">
      <c r="A34" s="21"/>
      <c r="B34" s="21"/>
      <c r="C34" s="21"/>
      <c r="D34" s="21"/>
      <c r="E34" s="21"/>
      <c r="F34" s="21"/>
      <c r="G34" s="21"/>
    </row>
    <row r="35" spans="1:7" x14ac:dyDescent="0.3">
      <c r="A35" s="21"/>
      <c r="B35" s="21"/>
      <c r="C35" s="21"/>
      <c r="D35" s="21"/>
      <c r="E35" s="21"/>
      <c r="F35" s="21"/>
      <c r="G35" s="21"/>
    </row>
    <row r="36" spans="1:7" x14ac:dyDescent="0.3">
      <c r="A36" s="21"/>
      <c r="B36" s="21"/>
      <c r="C36" s="21"/>
      <c r="D36" s="21"/>
      <c r="E36" s="21"/>
      <c r="F36" s="21"/>
      <c r="G36" s="21"/>
    </row>
    <row r="37" spans="1:7" x14ac:dyDescent="0.3">
      <c r="A37" s="21"/>
      <c r="B37" s="21"/>
      <c r="C37" s="21"/>
      <c r="D37" s="21"/>
      <c r="E37" s="21"/>
      <c r="F37" s="21"/>
      <c r="G37" s="21"/>
    </row>
    <row r="38" spans="1:7" x14ac:dyDescent="0.3">
      <c r="A38" s="21"/>
      <c r="B38" s="21"/>
      <c r="C38" s="21"/>
      <c r="D38" s="21"/>
      <c r="E38" s="21"/>
      <c r="F38" s="21"/>
      <c r="G38" s="21"/>
    </row>
    <row r="39" spans="1:7" x14ac:dyDescent="0.3">
      <c r="A39" s="21"/>
      <c r="B39" s="21"/>
      <c r="C39" s="21"/>
      <c r="D39" s="21"/>
      <c r="E39" s="21"/>
      <c r="F39" s="21"/>
      <c r="G39" s="21"/>
    </row>
    <row r="40" spans="1:7" x14ac:dyDescent="0.3">
      <c r="A40" s="21"/>
      <c r="B40" s="21"/>
      <c r="C40" s="21"/>
      <c r="D40" s="21"/>
      <c r="E40" s="21"/>
      <c r="F40" s="21"/>
      <c r="G40" s="21"/>
    </row>
    <row r="41" spans="1:7" x14ac:dyDescent="0.3">
      <c r="A41" s="21"/>
      <c r="B41" s="21"/>
      <c r="C41" s="21"/>
      <c r="D41" s="21"/>
      <c r="E41" s="21"/>
      <c r="F41" s="21"/>
      <c r="G41" s="21"/>
    </row>
    <row r="42" spans="1:7" x14ac:dyDescent="0.3">
      <c r="A42" s="21"/>
      <c r="B42" s="21"/>
      <c r="C42" s="21"/>
      <c r="D42" s="21"/>
      <c r="E42" s="21"/>
      <c r="F42" s="21"/>
      <c r="G42" s="21"/>
    </row>
    <row r="43" spans="1:7" x14ac:dyDescent="0.3">
      <c r="A43" s="21"/>
      <c r="B43" s="21"/>
      <c r="C43" s="21"/>
      <c r="D43" s="21"/>
      <c r="E43" s="21"/>
      <c r="F43" s="21"/>
      <c r="G43" s="21"/>
    </row>
    <row r="44" spans="1:7" x14ac:dyDescent="0.3">
      <c r="A44" s="21"/>
      <c r="B44" s="21"/>
      <c r="C44" s="21"/>
      <c r="D44" s="21"/>
      <c r="E44" s="21"/>
      <c r="F44" s="21"/>
      <c r="G44" s="21"/>
    </row>
    <row r="45" spans="1:7" x14ac:dyDescent="0.3">
      <c r="A45" s="21"/>
      <c r="B45" s="21"/>
      <c r="C45" s="21"/>
      <c r="D45" s="21"/>
      <c r="E45" s="21"/>
      <c r="F45" s="21"/>
      <c r="G45" s="21"/>
    </row>
    <row r="46" spans="1:7" x14ac:dyDescent="0.3">
      <c r="A46" s="21"/>
      <c r="B46" s="21"/>
      <c r="C46" s="21"/>
      <c r="D46" s="21"/>
      <c r="E46" s="21"/>
      <c r="F46" s="21"/>
      <c r="G46" s="21"/>
    </row>
    <row r="47" spans="1:7" x14ac:dyDescent="0.3">
      <c r="A47" s="21"/>
      <c r="B47" s="21"/>
      <c r="C47" s="21"/>
      <c r="D47" s="21"/>
      <c r="E47" s="21"/>
      <c r="F47" s="21"/>
      <c r="G47" s="21"/>
    </row>
    <row r="48" spans="1:7" x14ac:dyDescent="0.3">
      <c r="A48" s="21"/>
      <c r="B48" s="21"/>
      <c r="C48" s="21"/>
      <c r="D48" s="21"/>
      <c r="E48" s="21"/>
      <c r="F48" s="21"/>
      <c r="G48" s="21"/>
    </row>
    <row r="49" spans="1:7" x14ac:dyDescent="0.3">
      <c r="A49" s="21"/>
      <c r="B49" s="21"/>
      <c r="C49" s="21"/>
      <c r="D49" s="21"/>
      <c r="E49" s="21"/>
      <c r="F49" s="21"/>
      <c r="G49" s="21"/>
    </row>
    <row r="50" spans="1:7" x14ac:dyDescent="0.3">
      <c r="A50" s="21"/>
      <c r="B50" s="21"/>
      <c r="C50" s="21"/>
      <c r="D50" s="21"/>
      <c r="E50" s="21"/>
      <c r="F50" s="21"/>
      <c r="G50" s="21"/>
    </row>
    <row r="51" spans="1:7" x14ac:dyDescent="0.3">
      <c r="A51" s="21"/>
      <c r="B51" s="21"/>
      <c r="C51" s="21"/>
      <c r="D51" s="21"/>
      <c r="E51" s="21"/>
      <c r="F51" s="21"/>
      <c r="G51" s="21"/>
    </row>
    <row r="52" spans="1:7" x14ac:dyDescent="0.3">
      <c r="A52" s="21"/>
      <c r="B52" s="21"/>
      <c r="C52" s="21"/>
      <c r="D52" s="21"/>
      <c r="E52" s="21"/>
      <c r="F52" s="21"/>
      <c r="G52" s="21"/>
    </row>
  </sheetData>
  <mergeCells count="4">
    <mergeCell ref="B1:D1"/>
    <mergeCell ref="E1:G1"/>
    <mergeCell ref="A1:A2"/>
    <mergeCell ref="H1:H2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707D2-49A3-4775-8931-5662FA879A65}">
  <dimension ref="A1:I52"/>
  <sheetViews>
    <sheetView topLeftCell="A13" workbookViewId="0">
      <selection activeCell="K22" sqref="A1:XFD1048576"/>
    </sheetView>
  </sheetViews>
  <sheetFormatPr defaultRowHeight="14.4" x14ac:dyDescent="0.3"/>
  <cols>
    <col min="1" max="1" width="9.5546875" bestFit="1" customWidth="1"/>
    <col min="2" max="2" width="6.5546875" customWidth="1"/>
    <col min="3" max="3" width="11.21875" bestFit="1" customWidth="1"/>
    <col min="4" max="4" width="14.77734375" customWidth="1"/>
    <col min="5" max="5" width="7.109375" bestFit="1" customWidth="1"/>
    <col min="6" max="6" width="11.21875" bestFit="1" customWidth="1"/>
    <col min="7" max="7" width="18.109375" customWidth="1"/>
    <col min="8" max="8" width="40" bestFit="1" customWidth="1"/>
  </cols>
  <sheetData>
    <row r="1" spans="1:9" x14ac:dyDescent="0.3">
      <c r="A1" s="51" t="s">
        <v>0</v>
      </c>
      <c r="B1" s="50" t="s">
        <v>39</v>
      </c>
      <c r="C1" s="50"/>
      <c r="D1" s="50"/>
      <c r="E1" s="50" t="s">
        <v>40</v>
      </c>
      <c r="F1" s="50"/>
      <c r="G1" s="50"/>
      <c r="H1" s="52" t="s">
        <v>44</v>
      </c>
    </row>
    <row r="2" spans="1:9" x14ac:dyDescent="0.3">
      <c r="A2" s="51"/>
      <c r="B2" s="18" t="s">
        <v>36</v>
      </c>
      <c r="C2" s="19" t="s">
        <v>37</v>
      </c>
      <c r="D2" s="20" t="s">
        <v>38</v>
      </c>
      <c r="E2" s="18" t="s">
        <v>36</v>
      </c>
      <c r="F2" s="19" t="s">
        <v>37</v>
      </c>
      <c r="G2" s="20" t="s">
        <v>38</v>
      </c>
      <c r="H2" s="52"/>
    </row>
    <row r="3" spans="1:9" x14ac:dyDescent="0.3">
      <c r="A3" s="21" t="s">
        <v>5</v>
      </c>
      <c r="B3" s="21">
        <v>0</v>
      </c>
      <c r="C3" s="21">
        <v>2501.75</v>
      </c>
      <c r="D3" s="21">
        <v>0</v>
      </c>
      <c r="E3" s="23">
        <v>0</v>
      </c>
      <c r="F3" s="23">
        <v>1</v>
      </c>
      <c r="G3" s="23">
        <v>0</v>
      </c>
      <c r="H3" s="22">
        <f t="shared" ref="H3:H20" si="0">G3-E3</f>
        <v>0</v>
      </c>
      <c r="I3" s="24"/>
    </row>
    <row r="4" spans="1:9" x14ac:dyDescent="0.3">
      <c r="A4" s="21" t="s">
        <v>6</v>
      </c>
      <c r="B4" s="21">
        <v>0</v>
      </c>
      <c r="C4" s="21">
        <v>2501.75</v>
      </c>
      <c r="D4" s="21">
        <v>0</v>
      </c>
      <c r="E4" s="23">
        <v>0</v>
      </c>
      <c r="F4" s="23">
        <f>F3/(F3+E3+G3)</f>
        <v>1</v>
      </c>
      <c r="G4" s="23">
        <f>G3/(G3+F3+E3)</f>
        <v>0</v>
      </c>
      <c r="H4" s="22">
        <f t="shared" si="0"/>
        <v>0</v>
      </c>
      <c r="I4" s="24"/>
    </row>
    <row r="5" spans="1:9" x14ac:dyDescent="0.3">
      <c r="A5" s="21" t="s">
        <v>7</v>
      </c>
      <c r="B5" s="21">
        <v>0</v>
      </c>
      <c r="C5" s="21">
        <v>2501.75</v>
      </c>
      <c r="D5" s="21">
        <v>0</v>
      </c>
      <c r="E5" s="23">
        <v>0</v>
      </c>
      <c r="F5" s="23">
        <v>1</v>
      </c>
      <c r="G5" s="23">
        <v>0</v>
      </c>
      <c r="H5" s="22">
        <f t="shared" si="0"/>
        <v>0</v>
      </c>
      <c r="I5" s="24"/>
    </row>
    <row r="6" spans="1:9" x14ac:dyDescent="0.3">
      <c r="A6" s="21" t="s">
        <v>8</v>
      </c>
      <c r="B6" s="21">
        <v>0</v>
      </c>
      <c r="C6" s="21">
        <v>2501.75</v>
      </c>
      <c r="D6" s="21">
        <v>0</v>
      </c>
      <c r="E6" s="23">
        <v>0</v>
      </c>
      <c r="F6" s="23">
        <v>1</v>
      </c>
      <c r="G6" s="23">
        <v>0</v>
      </c>
      <c r="H6" s="22">
        <f t="shared" si="0"/>
        <v>0</v>
      </c>
      <c r="I6" s="24"/>
    </row>
    <row r="7" spans="1:9" x14ac:dyDescent="0.3">
      <c r="A7" s="21" t="s">
        <v>10</v>
      </c>
      <c r="B7" s="21">
        <v>0</v>
      </c>
      <c r="C7" s="21">
        <v>2501.75</v>
      </c>
      <c r="D7" s="21">
        <v>0</v>
      </c>
      <c r="E7" s="23">
        <v>0</v>
      </c>
      <c r="F7" s="23">
        <v>1</v>
      </c>
      <c r="G7" s="23">
        <v>0</v>
      </c>
      <c r="H7" s="22">
        <f t="shared" si="0"/>
        <v>0</v>
      </c>
      <c r="I7" s="24"/>
    </row>
    <row r="8" spans="1:9" x14ac:dyDescent="0.3">
      <c r="A8" s="21" t="s">
        <v>11</v>
      </c>
      <c r="B8" s="21">
        <v>0</v>
      </c>
      <c r="C8" s="21">
        <v>2608.27</v>
      </c>
      <c r="D8" s="21">
        <v>0</v>
      </c>
      <c r="E8" s="23">
        <v>0</v>
      </c>
      <c r="F8" s="23">
        <v>1</v>
      </c>
      <c r="G8" s="23">
        <v>0</v>
      </c>
      <c r="H8" s="22">
        <f t="shared" si="0"/>
        <v>0</v>
      </c>
      <c r="I8" s="24"/>
    </row>
    <row r="9" spans="1:9" x14ac:dyDescent="0.3">
      <c r="A9" s="21" t="s">
        <v>12</v>
      </c>
      <c r="B9" s="21">
        <v>0</v>
      </c>
      <c r="C9" s="21">
        <v>2608.2699999999995</v>
      </c>
      <c r="D9" s="21">
        <v>0</v>
      </c>
      <c r="E9" s="23">
        <v>0</v>
      </c>
      <c r="F9" s="23">
        <v>1</v>
      </c>
      <c r="G9" s="23">
        <v>0</v>
      </c>
      <c r="H9" s="22">
        <f t="shared" si="0"/>
        <v>0</v>
      </c>
      <c r="I9" s="24"/>
    </row>
    <row r="10" spans="1:9" x14ac:dyDescent="0.3">
      <c r="A10" s="21" t="s">
        <v>13</v>
      </c>
      <c r="B10" s="21">
        <v>0</v>
      </c>
      <c r="C10" s="21">
        <v>2608.27</v>
      </c>
      <c r="D10" s="21">
        <v>0</v>
      </c>
      <c r="E10" s="23">
        <v>0</v>
      </c>
      <c r="F10" s="23">
        <v>1</v>
      </c>
      <c r="G10" s="23">
        <v>0</v>
      </c>
      <c r="H10" s="22">
        <f t="shared" si="0"/>
        <v>0</v>
      </c>
      <c r="I10" s="24"/>
    </row>
    <row r="11" spans="1:9" x14ac:dyDescent="0.3">
      <c r="A11" s="21" t="s">
        <v>18</v>
      </c>
      <c r="B11" s="21">
        <v>0</v>
      </c>
      <c r="C11" s="21">
        <v>2608.2699999999995</v>
      </c>
      <c r="D11" s="21">
        <v>0</v>
      </c>
      <c r="E11" s="23">
        <v>0</v>
      </c>
      <c r="F11" s="23">
        <v>1</v>
      </c>
      <c r="G11" s="23">
        <v>0</v>
      </c>
      <c r="H11" s="22">
        <f t="shared" si="0"/>
        <v>0</v>
      </c>
      <c r="I11" s="24"/>
    </row>
    <row r="12" spans="1:9" x14ac:dyDescent="0.3">
      <c r="A12" s="21" t="s">
        <v>21</v>
      </c>
      <c r="B12" s="21">
        <v>0</v>
      </c>
      <c r="C12" s="21">
        <v>2545</v>
      </c>
      <c r="D12" s="21">
        <v>0</v>
      </c>
      <c r="E12" s="23">
        <v>0</v>
      </c>
      <c r="F12" s="23">
        <v>1</v>
      </c>
      <c r="G12" s="23">
        <v>0</v>
      </c>
      <c r="H12" s="22">
        <f t="shared" si="0"/>
        <v>0</v>
      </c>
      <c r="I12" s="24"/>
    </row>
    <row r="13" spans="1:9" x14ac:dyDescent="0.3">
      <c r="A13" s="21" t="s">
        <v>16</v>
      </c>
      <c r="B13" s="21">
        <v>11.27</v>
      </c>
      <c r="C13" s="21">
        <v>2597</v>
      </c>
      <c r="D13" s="21">
        <v>0</v>
      </c>
      <c r="E13" s="23">
        <v>4.3208716888972383E-3</v>
      </c>
      <c r="F13" s="23">
        <v>0.99567912831110272</v>
      </c>
      <c r="G13" s="23">
        <v>0</v>
      </c>
      <c r="H13" s="22">
        <f t="shared" si="0"/>
        <v>-4.3208716888972383E-3</v>
      </c>
      <c r="I13" s="24"/>
    </row>
    <row r="14" spans="1:9" x14ac:dyDescent="0.3">
      <c r="A14" s="21" t="s">
        <v>24</v>
      </c>
      <c r="B14" s="21">
        <v>56</v>
      </c>
      <c r="C14" s="21">
        <v>2489</v>
      </c>
      <c r="D14" s="21">
        <v>0</v>
      </c>
      <c r="E14" s="23">
        <v>2.2003929273084481E-2</v>
      </c>
      <c r="F14" s="23">
        <v>0.97799607072691552</v>
      </c>
      <c r="G14" s="23">
        <v>0</v>
      </c>
      <c r="H14" s="22">
        <f t="shared" si="0"/>
        <v>-2.2003929273084481E-2</v>
      </c>
      <c r="I14" s="24"/>
    </row>
    <row r="15" spans="1:9" x14ac:dyDescent="0.3">
      <c r="A15" s="21" t="s">
        <v>23</v>
      </c>
      <c r="B15" s="21">
        <v>73</v>
      </c>
      <c r="C15" s="21">
        <v>2472</v>
      </c>
      <c r="D15" s="21">
        <v>0</v>
      </c>
      <c r="E15" s="23">
        <v>2.8683693516699412E-2</v>
      </c>
      <c r="F15" s="23">
        <v>0.97131630648330058</v>
      </c>
      <c r="G15" s="23">
        <v>0</v>
      </c>
      <c r="H15" s="22">
        <f t="shared" si="0"/>
        <v>-2.8683693516699412E-2</v>
      </c>
      <c r="I15" s="24"/>
    </row>
    <row r="16" spans="1:9" x14ac:dyDescent="0.3">
      <c r="A16" s="21" t="s">
        <v>9</v>
      </c>
      <c r="B16" s="21">
        <v>131.5</v>
      </c>
      <c r="C16" s="21">
        <v>2370.25</v>
      </c>
      <c r="D16" s="21">
        <v>0</v>
      </c>
      <c r="E16" s="23">
        <v>5.2563205755970822E-2</v>
      </c>
      <c r="F16" s="23">
        <v>0.94743679424402916</v>
      </c>
      <c r="G16" s="23">
        <v>0</v>
      </c>
      <c r="H16" s="22">
        <f t="shared" si="0"/>
        <v>-5.2563205755970822E-2</v>
      </c>
      <c r="I16" s="24"/>
    </row>
    <row r="17" spans="1:9" x14ac:dyDescent="0.3">
      <c r="A17" s="21" t="s">
        <v>20</v>
      </c>
      <c r="B17" s="21">
        <v>188</v>
      </c>
      <c r="C17" s="21">
        <v>2357</v>
      </c>
      <c r="D17" s="21">
        <v>0</v>
      </c>
      <c r="E17" s="23">
        <v>7.3870333988212175E-2</v>
      </c>
      <c r="F17" s="23">
        <v>0.92612966601178781</v>
      </c>
      <c r="G17" s="23">
        <v>0</v>
      </c>
      <c r="H17" s="22">
        <f t="shared" si="0"/>
        <v>-7.3870333988212175E-2</v>
      </c>
      <c r="I17" s="24"/>
    </row>
    <row r="18" spans="1:9" x14ac:dyDescent="0.3">
      <c r="A18" s="21" t="s">
        <v>17</v>
      </c>
      <c r="B18" s="21">
        <v>207.76</v>
      </c>
      <c r="C18" s="21">
        <v>2400.5100000000002</v>
      </c>
      <c r="D18" s="21">
        <v>0</v>
      </c>
      <c r="E18" s="23">
        <v>7.9654330264888204E-2</v>
      </c>
      <c r="F18" s="23">
        <v>0.92034566973511167</v>
      </c>
      <c r="G18" s="23">
        <v>0</v>
      </c>
      <c r="H18" s="22">
        <f t="shared" si="0"/>
        <v>-7.9654330264888204E-2</v>
      </c>
      <c r="I18" s="24"/>
    </row>
    <row r="19" spans="1:9" x14ac:dyDescent="0.3">
      <c r="A19" s="21" t="s">
        <v>19</v>
      </c>
      <c r="B19" s="21">
        <v>404</v>
      </c>
      <c r="C19" s="21">
        <v>2141</v>
      </c>
      <c r="D19" s="21">
        <v>0</v>
      </c>
      <c r="E19" s="23">
        <v>0.15874263261296659</v>
      </c>
      <c r="F19" s="23">
        <v>0.84125736738703338</v>
      </c>
      <c r="G19" s="23">
        <v>0</v>
      </c>
      <c r="H19" s="22">
        <f t="shared" si="0"/>
        <v>-0.15874263261296659</v>
      </c>
      <c r="I19" s="24"/>
    </row>
    <row r="20" spans="1:9" x14ac:dyDescent="0.3">
      <c r="A20" s="21" t="s">
        <v>22</v>
      </c>
      <c r="B20" s="21">
        <v>722</v>
      </c>
      <c r="C20" s="21">
        <v>1823</v>
      </c>
      <c r="D20" s="21">
        <v>0</v>
      </c>
      <c r="E20" s="23">
        <v>0.28369351669941062</v>
      </c>
      <c r="F20" s="23">
        <v>0.71630648330058944</v>
      </c>
      <c r="G20" s="23">
        <v>0</v>
      </c>
      <c r="H20" s="22">
        <f t="shared" si="0"/>
        <v>-0.28369351669941062</v>
      </c>
      <c r="I20" s="24"/>
    </row>
    <row r="21" spans="1:9" x14ac:dyDescent="0.3">
      <c r="A21" s="21"/>
      <c r="B21" s="21"/>
      <c r="C21" s="21"/>
      <c r="D21" s="21"/>
      <c r="E21" s="21"/>
      <c r="F21" s="21"/>
      <c r="G21" s="21"/>
    </row>
    <row r="22" spans="1:9" x14ac:dyDescent="0.3">
      <c r="A22" s="21"/>
      <c r="B22" s="21"/>
      <c r="C22" s="21"/>
      <c r="D22" s="21"/>
      <c r="E22" s="21"/>
      <c r="F22" s="21"/>
      <c r="G22" s="21"/>
    </row>
    <row r="23" spans="1:9" x14ac:dyDescent="0.3">
      <c r="A23" s="21"/>
      <c r="B23" s="21"/>
      <c r="C23" s="21"/>
      <c r="D23" s="21"/>
      <c r="E23" s="21"/>
      <c r="F23" s="21"/>
      <c r="G23" s="21"/>
    </row>
    <row r="24" spans="1:9" x14ac:dyDescent="0.3">
      <c r="A24" s="21"/>
      <c r="B24" s="21"/>
      <c r="C24" s="21"/>
      <c r="D24" s="21"/>
      <c r="E24" s="21"/>
      <c r="F24" s="21"/>
      <c r="G24" s="21"/>
    </row>
    <row r="25" spans="1:9" x14ac:dyDescent="0.3">
      <c r="A25" s="21"/>
      <c r="B25" s="21"/>
      <c r="C25" s="21"/>
      <c r="D25" s="21"/>
      <c r="E25" s="21"/>
      <c r="F25" s="21"/>
      <c r="G25" s="21"/>
    </row>
    <row r="26" spans="1:9" x14ac:dyDescent="0.3">
      <c r="A26" s="21"/>
      <c r="B26" s="21"/>
      <c r="C26" s="21"/>
      <c r="D26" s="21"/>
      <c r="E26" s="21"/>
      <c r="F26" s="21"/>
      <c r="G26" s="21"/>
    </row>
    <row r="27" spans="1:9" x14ac:dyDescent="0.3">
      <c r="A27" s="21"/>
      <c r="B27" s="21"/>
      <c r="C27" s="21"/>
      <c r="D27" s="21"/>
      <c r="E27" s="21"/>
      <c r="F27" s="21"/>
      <c r="G27" s="21"/>
    </row>
    <row r="28" spans="1:9" x14ac:dyDescent="0.3">
      <c r="A28" s="21"/>
      <c r="B28" s="21"/>
      <c r="C28" s="21"/>
      <c r="D28" s="21"/>
      <c r="E28" s="21"/>
      <c r="F28" s="21"/>
      <c r="G28" s="21"/>
    </row>
    <row r="29" spans="1:9" x14ac:dyDescent="0.3">
      <c r="A29" s="21"/>
      <c r="B29" s="21"/>
      <c r="C29" s="21"/>
      <c r="D29" s="21"/>
      <c r="E29" s="21"/>
      <c r="F29" s="21"/>
      <c r="G29" s="21"/>
    </row>
    <row r="30" spans="1:9" x14ac:dyDescent="0.3">
      <c r="A30" s="21"/>
      <c r="B30" s="21"/>
      <c r="C30" s="21"/>
      <c r="D30" s="21"/>
      <c r="E30" s="21"/>
      <c r="F30" s="21"/>
      <c r="G30" s="21"/>
    </row>
    <row r="31" spans="1:9" x14ac:dyDescent="0.3">
      <c r="A31" s="21"/>
      <c r="B31" s="21"/>
      <c r="C31" s="21"/>
      <c r="D31" s="21"/>
      <c r="E31" s="21"/>
      <c r="F31" s="21"/>
      <c r="G31" s="21"/>
    </row>
    <row r="32" spans="1:9" x14ac:dyDescent="0.3">
      <c r="A32" s="21"/>
      <c r="B32" s="21"/>
      <c r="C32" s="21"/>
      <c r="D32" s="21"/>
      <c r="E32" s="21"/>
      <c r="F32" s="21"/>
      <c r="G32" s="21"/>
    </row>
    <row r="33" spans="1:7" x14ac:dyDescent="0.3">
      <c r="A33" s="21"/>
      <c r="B33" s="21"/>
      <c r="C33" s="21"/>
      <c r="D33" s="21"/>
      <c r="E33" s="21"/>
      <c r="F33" s="21"/>
      <c r="G33" s="21"/>
    </row>
    <row r="34" spans="1:7" x14ac:dyDescent="0.3">
      <c r="A34" s="21"/>
      <c r="B34" s="21"/>
      <c r="C34" s="21"/>
      <c r="D34" s="21"/>
      <c r="E34" s="21"/>
      <c r="F34" s="21"/>
      <c r="G34" s="21"/>
    </row>
    <row r="35" spans="1:7" x14ac:dyDescent="0.3">
      <c r="A35" s="21"/>
      <c r="B35" s="21"/>
      <c r="C35" s="21"/>
      <c r="D35" s="21"/>
      <c r="E35" s="21"/>
      <c r="F35" s="21"/>
      <c r="G35" s="21"/>
    </row>
    <row r="36" spans="1:7" x14ac:dyDescent="0.3">
      <c r="A36" s="21"/>
      <c r="B36" s="21"/>
      <c r="C36" s="21"/>
      <c r="D36" s="21"/>
      <c r="E36" s="21"/>
      <c r="F36" s="21"/>
      <c r="G36" s="21"/>
    </row>
    <row r="37" spans="1:7" x14ac:dyDescent="0.3">
      <c r="A37" s="21"/>
      <c r="B37" s="21"/>
      <c r="C37" s="21"/>
      <c r="D37" s="21"/>
      <c r="E37" s="21"/>
      <c r="F37" s="21"/>
      <c r="G37" s="21"/>
    </row>
    <row r="38" spans="1:7" x14ac:dyDescent="0.3">
      <c r="A38" s="21"/>
      <c r="B38" s="21"/>
      <c r="C38" s="21"/>
      <c r="D38" s="21"/>
      <c r="E38" s="21"/>
      <c r="F38" s="21"/>
      <c r="G38" s="21"/>
    </row>
    <row r="39" spans="1:7" x14ac:dyDescent="0.3">
      <c r="A39" s="21"/>
      <c r="B39" s="21"/>
      <c r="C39" s="21"/>
      <c r="D39" s="21"/>
      <c r="E39" s="21"/>
      <c r="F39" s="21"/>
      <c r="G39" s="21"/>
    </row>
    <row r="40" spans="1:7" x14ac:dyDescent="0.3">
      <c r="A40" s="21"/>
      <c r="B40" s="21"/>
      <c r="C40" s="21"/>
      <c r="D40" s="21"/>
      <c r="E40" s="21"/>
      <c r="F40" s="21"/>
      <c r="G40" s="21"/>
    </row>
    <row r="41" spans="1:7" x14ac:dyDescent="0.3">
      <c r="A41" s="21"/>
      <c r="B41" s="21"/>
      <c r="C41" s="21"/>
      <c r="D41" s="21"/>
      <c r="E41" s="21"/>
      <c r="F41" s="21"/>
      <c r="G41" s="21"/>
    </row>
    <row r="42" spans="1:7" x14ac:dyDescent="0.3">
      <c r="A42" s="21"/>
      <c r="B42" s="21"/>
      <c r="C42" s="21"/>
      <c r="D42" s="21"/>
      <c r="E42" s="21"/>
      <c r="F42" s="21"/>
      <c r="G42" s="21"/>
    </row>
    <row r="43" spans="1:7" x14ac:dyDescent="0.3">
      <c r="A43" s="21"/>
      <c r="B43" s="21"/>
      <c r="C43" s="21"/>
      <c r="D43" s="21"/>
      <c r="E43" s="21"/>
      <c r="F43" s="21"/>
      <c r="G43" s="21"/>
    </row>
    <row r="44" spans="1:7" x14ac:dyDescent="0.3">
      <c r="A44" s="21"/>
      <c r="B44" s="21"/>
      <c r="C44" s="21"/>
      <c r="D44" s="21"/>
      <c r="E44" s="21"/>
      <c r="F44" s="21"/>
      <c r="G44" s="21"/>
    </row>
    <row r="45" spans="1:7" x14ac:dyDescent="0.3">
      <c r="A45" s="21"/>
      <c r="B45" s="21"/>
      <c r="C45" s="21"/>
      <c r="D45" s="21"/>
      <c r="E45" s="21"/>
      <c r="F45" s="21"/>
      <c r="G45" s="21"/>
    </row>
    <row r="46" spans="1:7" x14ac:dyDescent="0.3">
      <c r="A46" s="21"/>
      <c r="B46" s="21"/>
      <c r="C46" s="21"/>
      <c r="D46" s="21"/>
      <c r="E46" s="21"/>
      <c r="F46" s="21"/>
      <c r="G46" s="21"/>
    </row>
    <row r="47" spans="1:7" x14ac:dyDescent="0.3">
      <c r="A47" s="21"/>
      <c r="B47" s="21"/>
      <c r="C47" s="21"/>
      <c r="D47" s="21"/>
      <c r="E47" s="21"/>
      <c r="F47" s="21"/>
      <c r="G47" s="21"/>
    </row>
    <row r="48" spans="1:7" x14ac:dyDescent="0.3">
      <c r="A48" s="21"/>
      <c r="B48" s="21"/>
      <c r="C48" s="21"/>
      <c r="D48" s="21"/>
      <c r="E48" s="21"/>
      <c r="F48" s="21"/>
      <c r="G48" s="21"/>
    </row>
    <row r="49" spans="1:7" x14ac:dyDescent="0.3">
      <c r="A49" s="21"/>
      <c r="B49" s="21"/>
      <c r="C49" s="21"/>
      <c r="D49" s="21"/>
      <c r="E49" s="21"/>
      <c r="F49" s="21"/>
      <c r="G49" s="21"/>
    </row>
    <row r="50" spans="1:7" x14ac:dyDescent="0.3">
      <c r="A50" s="21"/>
      <c r="B50" s="21"/>
      <c r="C50" s="21"/>
      <c r="D50" s="21"/>
      <c r="E50" s="21"/>
      <c r="F50" s="21"/>
      <c r="G50" s="21"/>
    </row>
    <row r="51" spans="1:7" x14ac:dyDescent="0.3">
      <c r="A51" s="21"/>
      <c r="B51" s="21"/>
      <c r="C51" s="21"/>
      <c r="D51" s="21"/>
      <c r="E51" s="21"/>
      <c r="F51" s="21"/>
      <c r="G51" s="21"/>
    </row>
    <row r="52" spans="1:7" x14ac:dyDescent="0.3">
      <c r="A52" s="21"/>
      <c r="B52" s="21"/>
      <c r="C52" s="21"/>
      <c r="D52" s="21"/>
      <c r="E52" s="21"/>
      <c r="F52" s="21"/>
      <c r="G52" s="21"/>
    </row>
  </sheetData>
  <sortState xmlns:xlrd2="http://schemas.microsoft.com/office/spreadsheetml/2017/richdata2" ref="A4:H20">
    <sortCondition descending="1" ref="H3:H20"/>
    <sortCondition descending="1" ref="F3:F20"/>
  </sortState>
  <mergeCells count="4">
    <mergeCell ref="A1:A2"/>
    <mergeCell ref="B1:D1"/>
    <mergeCell ref="E1:G1"/>
    <mergeCell ref="H1:H2"/>
  </mergeCell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80F8E-8280-4FAD-BCE3-A342614F38AF}">
  <dimension ref="A1:H55"/>
  <sheetViews>
    <sheetView topLeftCell="A46" workbookViewId="0">
      <selection activeCell="L32" sqref="L32"/>
    </sheetView>
  </sheetViews>
  <sheetFormatPr defaultRowHeight="14.4" x14ac:dyDescent="0.3"/>
  <cols>
    <col min="1" max="1" width="9.5546875" bestFit="1" customWidth="1"/>
    <col min="2" max="2" width="13.5546875" bestFit="1" customWidth="1"/>
    <col min="3" max="3" width="9.33203125" bestFit="1" customWidth="1"/>
  </cols>
  <sheetData>
    <row r="1" spans="1:4" x14ac:dyDescent="0.3">
      <c r="A1" s="2" t="s">
        <v>0</v>
      </c>
      <c r="B1" s="46" t="s">
        <v>1</v>
      </c>
      <c r="C1" s="46"/>
      <c r="D1" s="9" t="s">
        <v>41</v>
      </c>
    </row>
    <row r="2" spans="1:4" x14ac:dyDescent="0.3">
      <c r="A2" s="45" t="s">
        <v>5</v>
      </c>
      <c r="B2" t="s">
        <v>2</v>
      </c>
      <c r="C2">
        <v>5</v>
      </c>
      <c r="D2" s="45">
        <v>1</v>
      </c>
    </row>
    <row r="3" spans="1:4" x14ac:dyDescent="0.3">
      <c r="A3" s="45"/>
      <c r="B3" t="s">
        <v>3</v>
      </c>
      <c r="C3">
        <v>5</v>
      </c>
      <c r="D3" s="45"/>
    </row>
    <row r="4" spans="1:4" x14ac:dyDescent="0.3">
      <c r="A4" s="45"/>
      <c r="B4" t="s">
        <v>4</v>
      </c>
      <c r="C4" t="s">
        <v>14</v>
      </c>
      <c r="D4" s="45"/>
    </row>
    <row r="5" spans="1:4" x14ac:dyDescent="0.3">
      <c r="A5" s="45" t="s">
        <v>6</v>
      </c>
      <c r="B5" t="s">
        <v>2</v>
      </c>
      <c r="C5">
        <v>5</v>
      </c>
      <c r="D5" s="45">
        <v>1</v>
      </c>
    </row>
    <row r="6" spans="1:4" x14ac:dyDescent="0.3">
      <c r="A6" s="45"/>
      <c r="B6" t="s">
        <v>3</v>
      </c>
      <c r="C6">
        <v>10</v>
      </c>
      <c r="D6" s="45"/>
    </row>
    <row r="7" spans="1:4" x14ac:dyDescent="0.3">
      <c r="A7" s="45"/>
      <c r="B7" t="s">
        <v>4</v>
      </c>
      <c r="C7" t="s">
        <v>14</v>
      </c>
      <c r="D7" s="45"/>
    </row>
    <row r="8" spans="1:4" x14ac:dyDescent="0.3">
      <c r="A8" s="45" t="s">
        <v>7</v>
      </c>
      <c r="B8" t="s">
        <v>2</v>
      </c>
      <c r="C8">
        <v>5</v>
      </c>
      <c r="D8" s="45">
        <v>1</v>
      </c>
    </row>
    <row r="9" spans="1:4" x14ac:dyDescent="0.3">
      <c r="A9" s="45"/>
      <c r="B9" t="s">
        <v>3</v>
      </c>
      <c r="C9">
        <v>15</v>
      </c>
      <c r="D9" s="45"/>
    </row>
    <row r="10" spans="1:4" x14ac:dyDescent="0.3">
      <c r="A10" s="45"/>
      <c r="B10" t="s">
        <v>4</v>
      </c>
      <c r="C10" t="s">
        <v>14</v>
      </c>
      <c r="D10" s="45"/>
    </row>
    <row r="11" spans="1:4" x14ac:dyDescent="0.3">
      <c r="A11" s="45" t="s">
        <v>8</v>
      </c>
      <c r="B11" t="s">
        <v>2</v>
      </c>
      <c r="C11">
        <v>5</v>
      </c>
      <c r="D11" s="45">
        <v>1</v>
      </c>
    </row>
    <row r="12" spans="1:4" x14ac:dyDescent="0.3">
      <c r="A12" s="45"/>
      <c r="B12" t="s">
        <v>3</v>
      </c>
      <c r="C12">
        <v>5</v>
      </c>
      <c r="D12" s="45"/>
    </row>
    <row r="13" spans="1:4" x14ac:dyDescent="0.3">
      <c r="A13" s="45"/>
      <c r="B13" t="s">
        <v>4</v>
      </c>
      <c r="C13" t="s">
        <v>15</v>
      </c>
      <c r="D13" s="45"/>
    </row>
    <row r="14" spans="1:4" x14ac:dyDescent="0.3">
      <c r="A14" s="45" t="s">
        <v>10</v>
      </c>
      <c r="B14" t="s">
        <v>2</v>
      </c>
      <c r="C14">
        <v>5</v>
      </c>
      <c r="D14" s="45">
        <v>1</v>
      </c>
    </row>
    <row r="15" spans="1:4" x14ac:dyDescent="0.3">
      <c r="A15" s="45"/>
      <c r="B15" t="s">
        <v>3</v>
      </c>
      <c r="C15">
        <v>15</v>
      </c>
      <c r="D15" s="45"/>
    </row>
    <row r="16" spans="1:4" x14ac:dyDescent="0.3">
      <c r="A16" s="45"/>
      <c r="B16" t="s">
        <v>4</v>
      </c>
      <c r="C16" t="s">
        <v>15</v>
      </c>
      <c r="D16" s="45"/>
    </row>
    <row r="17" spans="1:4" x14ac:dyDescent="0.3">
      <c r="A17" s="45" t="s">
        <v>11</v>
      </c>
      <c r="B17" t="s">
        <v>2</v>
      </c>
      <c r="C17">
        <v>7</v>
      </c>
      <c r="D17" s="45">
        <v>1</v>
      </c>
    </row>
    <row r="18" spans="1:4" x14ac:dyDescent="0.3">
      <c r="A18" s="45"/>
      <c r="B18" t="s">
        <v>3</v>
      </c>
      <c r="C18">
        <v>5</v>
      </c>
      <c r="D18" s="45"/>
    </row>
    <row r="19" spans="1:4" x14ac:dyDescent="0.3">
      <c r="A19" s="45"/>
      <c r="B19" t="s">
        <v>4</v>
      </c>
      <c r="C19" t="s">
        <v>14</v>
      </c>
      <c r="D19" s="45"/>
    </row>
    <row r="20" spans="1:4" x14ac:dyDescent="0.3">
      <c r="A20" s="45" t="s">
        <v>12</v>
      </c>
      <c r="B20" t="s">
        <v>2</v>
      </c>
      <c r="C20">
        <v>7</v>
      </c>
      <c r="D20" s="45">
        <v>1</v>
      </c>
    </row>
    <row r="21" spans="1:4" x14ac:dyDescent="0.3">
      <c r="A21" s="45"/>
      <c r="B21" t="s">
        <v>3</v>
      </c>
      <c r="C21">
        <v>10</v>
      </c>
      <c r="D21" s="45"/>
    </row>
    <row r="22" spans="1:4" x14ac:dyDescent="0.3">
      <c r="A22" s="45"/>
      <c r="B22" t="s">
        <v>4</v>
      </c>
      <c r="C22" t="s">
        <v>14</v>
      </c>
      <c r="D22" s="45"/>
    </row>
    <row r="23" spans="1:4" x14ac:dyDescent="0.3">
      <c r="A23" s="45" t="s">
        <v>13</v>
      </c>
      <c r="B23" t="s">
        <v>2</v>
      </c>
      <c r="C23">
        <v>7</v>
      </c>
      <c r="D23" s="45">
        <v>1</v>
      </c>
    </row>
    <row r="24" spans="1:4" x14ac:dyDescent="0.3">
      <c r="A24" s="45"/>
      <c r="B24" t="s">
        <v>3</v>
      </c>
      <c r="C24">
        <v>15</v>
      </c>
      <c r="D24" s="45"/>
    </row>
    <row r="25" spans="1:4" x14ac:dyDescent="0.3">
      <c r="A25" s="45"/>
      <c r="B25" t="s">
        <v>4</v>
      </c>
      <c r="C25" t="s">
        <v>14</v>
      </c>
      <c r="D25" s="45"/>
    </row>
    <row r="26" spans="1:4" x14ac:dyDescent="0.3">
      <c r="A26" s="45" t="s">
        <v>18</v>
      </c>
      <c r="B26" t="s">
        <v>2</v>
      </c>
      <c r="C26">
        <v>7</v>
      </c>
      <c r="D26" s="45">
        <v>1</v>
      </c>
    </row>
    <row r="27" spans="1:4" x14ac:dyDescent="0.3">
      <c r="A27" s="45"/>
      <c r="B27" t="s">
        <v>3</v>
      </c>
      <c r="C27">
        <v>15</v>
      </c>
      <c r="D27" s="45"/>
    </row>
    <row r="28" spans="1:4" x14ac:dyDescent="0.3">
      <c r="A28" s="45"/>
      <c r="B28" t="s">
        <v>4</v>
      </c>
      <c r="C28" t="s">
        <v>15</v>
      </c>
      <c r="D28" s="45"/>
    </row>
    <row r="29" spans="1:4" x14ac:dyDescent="0.3">
      <c r="A29" s="45" t="s">
        <v>21</v>
      </c>
      <c r="B29" t="s">
        <v>2</v>
      </c>
      <c r="C29">
        <v>10</v>
      </c>
      <c r="D29" s="45">
        <v>1</v>
      </c>
    </row>
    <row r="30" spans="1:4" x14ac:dyDescent="0.3">
      <c r="A30" s="45"/>
      <c r="B30" t="s">
        <v>3</v>
      </c>
      <c r="C30">
        <v>15</v>
      </c>
      <c r="D30" s="45"/>
    </row>
    <row r="31" spans="1:4" x14ac:dyDescent="0.3">
      <c r="A31" s="45"/>
      <c r="B31" t="s">
        <v>4</v>
      </c>
      <c r="C31" t="s">
        <v>14</v>
      </c>
      <c r="D31" s="45"/>
    </row>
    <row r="32" spans="1:4" x14ac:dyDescent="0.3">
      <c r="A32" s="45" t="s">
        <v>16</v>
      </c>
      <c r="B32" t="s">
        <v>2</v>
      </c>
      <c r="C32">
        <v>7</v>
      </c>
      <c r="D32" s="45">
        <v>2</v>
      </c>
    </row>
    <row r="33" spans="1:4" x14ac:dyDescent="0.3">
      <c r="A33" s="45"/>
      <c r="B33" t="s">
        <v>3</v>
      </c>
      <c r="C33">
        <v>5</v>
      </c>
      <c r="D33" s="45"/>
    </row>
    <row r="34" spans="1:4" x14ac:dyDescent="0.3">
      <c r="A34" s="45"/>
      <c r="B34" t="s">
        <v>4</v>
      </c>
      <c r="C34" t="s">
        <v>15</v>
      </c>
      <c r="D34" s="45"/>
    </row>
    <row r="35" spans="1:4" x14ac:dyDescent="0.3">
      <c r="A35" s="45" t="s">
        <v>24</v>
      </c>
      <c r="B35" t="s">
        <v>2</v>
      </c>
      <c r="C35">
        <v>10</v>
      </c>
      <c r="D35" s="45">
        <v>3</v>
      </c>
    </row>
    <row r="36" spans="1:4" x14ac:dyDescent="0.3">
      <c r="A36" s="45"/>
      <c r="B36" t="s">
        <v>3</v>
      </c>
      <c r="C36">
        <v>15</v>
      </c>
      <c r="D36" s="45"/>
    </row>
    <row r="37" spans="1:4" x14ac:dyDescent="0.3">
      <c r="A37" s="45"/>
      <c r="B37" t="s">
        <v>4</v>
      </c>
      <c r="C37" t="s">
        <v>15</v>
      </c>
      <c r="D37" s="45"/>
    </row>
    <row r="38" spans="1:4" x14ac:dyDescent="0.3">
      <c r="A38" s="45" t="s">
        <v>23</v>
      </c>
      <c r="B38" t="s">
        <v>2</v>
      </c>
      <c r="C38">
        <v>10</v>
      </c>
      <c r="D38" s="45">
        <v>4</v>
      </c>
    </row>
    <row r="39" spans="1:4" x14ac:dyDescent="0.3">
      <c r="A39" s="45"/>
      <c r="B39" t="s">
        <v>3</v>
      </c>
      <c r="C39">
        <v>10</v>
      </c>
      <c r="D39" s="45"/>
    </row>
    <row r="40" spans="1:4" x14ac:dyDescent="0.3">
      <c r="A40" s="45"/>
      <c r="B40" t="s">
        <v>4</v>
      </c>
      <c r="C40" t="s">
        <v>15</v>
      </c>
      <c r="D40" s="45"/>
    </row>
    <row r="41" spans="1:4" x14ac:dyDescent="0.3">
      <c r="A41" s="45" t="s">
        <v>9</v>
      </c>
      <c r="B41" t="s">
        <v>2</v>
      </c>
      <c r="C41">
        <v>5</v>
      </c>
      <c r="D41" s="45">
        <v>5</v>
      </c>
    </row>
    <row r="42" spans="1:4" x14ac:dyDescent="0.3">
      <c r="A42" s="45"/>
      <c r="B42" t="s">
        <v>3</v>
      </c>
      <c r="C42">
        <v>10</v>
      </c>
      <c r="D42" s="45"/>
    </row>
    <row r="43" spans="1:4" x14ac:dyDescent="0.3">
      <c r="A43" s="45"/>
      <c r="B43" t="s">
        <v>4</v>
      </c>
      <c r="C43" t="s">
        <v>15</v>
      </c>
      <c r="D43" s="45"/>
    </row>
    <row r="44" spans="1:4" x14ac:dyDescent="0.3">
      <c r="A44" s="45" t="s">
        <v>20</v>
      </c>
      <c r="B44" t="s">
        <v>2</v>
      </c>
      <c r="C44">
        <v>10</v>
      </c>
      <c r="D44" s="45">
        <v>6</v>
      </c>
    </row>
    <row r="45" spans="1:4" x14ac:dyDescent="0.3">
      <c r="A45" s="45"/>
      <c r="B45" t="s">
        <v>3</v>
      </c>
      <c r="C45">
        <v>10</v>
      </c>
      <c r="D45" s="45"/>
    </row>
    <row r="46" spans="1:4" x14ac:dyDescent="0.3">
      <c r="A46" s="45"/>
      <c r="B46" t="s">
        <v>4</v>
      </c>
      <c r="C46" t="s">
        <v>14</v>
      </c>
      <c r="D46" s="45"/>
    </row>
    <row r="47" spans="1:4" x14ac:dyDescent="0.3">
      <c r="A47" s="45" t="s">
        <v>17</v>
      </c>
      <c r="B47" t="s">
        <v>2</v>
      </c>
      <c r="C47">
        <v>7</v>
      </c>
      <c r="D47" s="45">
        <v>7</v>
      </c>
    </row>
    <row r="48" spans="1:4" x14ac:dyDescent="0.3">
      <c r="A48" s="45"/>
      <c r="B48" t="s">
        <v>3</v>
      </c>
      <c r="C48">
        <v>10</v>
      </c>
      <c r="D48" s="45"/>
    </row>
    <row r="49" spans="1:8" x14ac:dyDescent="0.3">
      <c r="A49" s="45"/>
      <c r="B49" t="s">
        <v>4</v>
      </c>
      <c r="C49" t="s">
        <v>15</v>
      </c>
      <c r="D49" s="45"/>
    </row>
    <row r="50" spans="1:8" x14ac:dyDescent="0.3">
      <c r="A50" s="45" t="s">
        <v>19</v>
      </c>
      <c r="B50" t="s">
        <v>2</v>
      </c>
      <c r="C50">
        <v>10</v>
      </c>
      <c r="D50" s="45">
        <v>8</v>
      </c>
      <c r="E50" s="45"/>
      <c r="H50" s="45"/>
    </row>
    <row r="51" spans="1:8" x14ac:dyDescent="0.3">
      <c r="A51" s="45"/>
      <c r="B51" t="s">
        <v>3</v>
      </c>
      <c r="C51">
        <v>5</v>
      </c>
      <c r="D51" s="45"/>
      <c r="E51" s="45"/>
      <c r="H51" s="45"/>
    </row>
    <row r="52" spans="1:8" x14ac:dyDescent="0.3">
      <c r="A52" s="45"/>
      <c r="B52" t="s">
        <v>4</v>
      </c>
      <c r="C52" t="s">
        <v>14</v>
      </c>
      <c r="D52" s="45"/>
      <c r="E52" s="45"/>
      <c r="H52" s="45"/>
    </row>
    <row r="53" spans="1:8" x14ac:dyDescent="0.3">
      <c r="A53" s="45" t="s">
        <v>22</v>
      </c>
      <c r="B53" t="s">
        <v>2</v>
      </c>
      <c r="C53">
        <v>10</v>
      </c>
      <c r="D53" s="45">
        <v>9</v>
      </c>
    </row>
    <row r="54" spans="1:8" x14ac:dyDescent="0.3">
      <c r="A54" s="45"/>
      <c r="B54" t="s">
        <v>3</v>
      </c>
      <c r="C54">
        <v>5</v>
      </c>
      <c r="D54" s="45"/>
    </row>
    <row r="55" spans="1:8" x14ac:dyDescent="0.3">
      <c r="A55" s="45"/>
      <c r="B55" t="s">
        <v>4</v>
      </c>
      <c r="C55" t="s">
        <v>15</v>
      </c>
      <c r="D55" s="45"/>
    </row>
  </sheetData>
  <mergeCells count="39">
    <mergeCell ref="H50:H52"/>
    <mergeCell ref="D29:D31"/>
    <mergeCell ref="E50:E52"/>
    <mergeCell ref="D50:D52"/>
    <mergeCell ref="A53:A55"/>
    <mergeCell ref="A44:A46"/>
    <mergeCell ref="A38:A40"/>
    <mergeCell ref="D38:D40"/>
    <mergeCell ref="D47:D49"/>
    <mergeCell ref="D53:D55"/>
    <mergeCell ref="D2:D4"/>
    <mergeCell ref="D5:D7"/>
    <mergeCell ref="D8:D10"/>
    <mergeCell ref="D11:D13"/>
    <mergeCell ref="D44:D46"/>
    <mergeCell ref="D41:D43"/>
    <mergeCell ref="D14:D16"/>
    <mergeCell ref="D17:D19"/>
    <mergeCell ref="D20:D22"/>
    <mergeCell ref="D23:D25"/>
    <mergeCell ref="D32:D34"/>
    <mergeCell ref="D35:D37"/>
    <mergeCell ref="D26:D28"/>
    <mergeCell ref="A26:A28"/>
    <mergeCell ref="A35:A37"/>
    <mergeCell ref="A50:A52"/>
    <mergeCell ref="A41:A43"/>
    <mergeCell ref="A14:A16"/>
    <mergeCell ref="A17:A19"/>
    <mergeCell ref="A20:A22"/>
    <mergeCell ref="A23:A25"/>
    <mergeCell ref="A32:A34"/>
    <mergeCell ref="A29:A31"/>
    <mergeCell ref="A47:A49"/>
    <mergeCell ref="B1:C1"/>
    <mergeCell ref="A2:A4"/>
    <mergeCell ref="A5:A7"/>
    <mergeCell ref="A8:A10"/>
    <mergeCell ref="A11:A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04DDD-8471-4D20-93EA-744E8BD616EA}">
  <dimension ref="A2:G255"/>
  <sheetViews>
    <sheetView topLeftCell="A206" workbookViewId="0">
      <selection activeCell="P16" sqref="P16"/>
    </sheetView>
  </sheetViews>
  <sheetFormatPr defaultRowHeight="14.4" x14ac:dyDescent="0.3"/>
  <cols>
    <col min="1" max="1" width="9.5546875" bestFit="1" customWidth="1"/>
    <col min="3" max="3" width="25.77734375" bestFit="1" customWidth="1"/>
    <col min="4" max="4" width="26.33203125" bestFit="1" customWidth="1"/>
    <col min="5" max="5" width="32.88671875" bestFit="1" customWidth="1"/>
    <col min="6" max="6" width="31.5546875" bestFit="1" customWidth="1"/>
    <col min="7" max="7" width="11.77734375" bestFit="1" customWidth="1"/>
  </cols>
  <sheetData>
    <row r="2" spans="1:7" x14ac:dyDescent="0.3">
      <c r="A2" s="51" t="s">
        <v>0</v>
      </c>
      <c r="B2" s="50" t="s">
        <v>25</v>
      </c>
      <c r="C2" s="50" t="s">
        <v>33</v>
      </c>
      <c r="D2" s="50"/>
      <c r="E2" s="50"/>
      <c r="F2" s="51" t="s">
        <v>34</v>
      </c>
      <c r="G2" s="51" t="s">
        <v>35</v>
      </c>
    </row>
    <row r="3" spans="1:7" x14ac:dyDescent="0.3">
      <c r="A3" s="51"/>
      <c r="B3" s="50"/>
      <c r="C3" s="25" t="s">
        <v>30</v>
      </c>
      <c r="D3" s="25" t="s">
        <v>31</v>
      </c>
      <c r="E3" s="25" t="s">
        <v>32</v>
      </c>
      <c r="F3" s="56"/>
      <c r="G3" s="56"/>
    </row>
    <row r="4" spans="1:7" x14ac:dyDescent="0.3">
      <c r="A4" s="53" t="s">
        <v>5</v>
      </c>
      <c r="B4" s="26">
        <v>1</v>
      </c>
      <c r="C4" s="26">
        <v>0.86363636363636365</v>
      </c>
      <c r="D4" s="26">
        <v>0.8</v>
      </c>
      <c r="E4" s="27">
        <v>2.2742251746408329E-2</v>
      </c>
      <c r="F4" s="26">
        <v>0.56212620512759059</v>
      </c>
      <c r="G4" s="10" t="str">
        <f>IF(F4&lt;0.25, "Bad", IF(F4&lt;=0.75, "Intermediate", "Excellent"))</f>
        <v>Intermediate</v>
      </c>
    </row>
    <row r="5" spans="1:7" x14ac:dyDescent="0.3">
      <c r="A5" s="54"/>
      <c r="B5" s="21">
        <v>2</v>
      </c>
      <c r="C5" s="21">
        <v>0.54545454545454541</v>
      </c>
      <c r="D5" s="21">
        <v>0.8</v>
      </c>
      <c r="E5" s="28">
        <v>3.1355032555687355E-2</v>
      </c>
      <c r="F5" s="21">
        <v>0.45893652600341089</v>
      </c>
      <c r="G5" s="11" t="str">
        <f t="shared" ref="G5:G68" si="0">IF(F5&lt;0.25, "Bad", IF(F5&lt;=0.75, "Intermediate", "Excellent"))</f>
        <v>Intermediate</v>
      </c>
    </row>
    <row r="6" spans="1:7" x14ac:dyDescent="0.3">
      <c r="A6" s="54"/>
      <c r="B6" s="21">
        <v>3</v>
      </c>
      <c r="C6" s="21">
        <v>0.5</v>
      </c>
      <c r="D6" s="21">
        <v>0.6</v>
      </c>
      <c r="E6" s="28">
        <v>3.535442678265454E-2</v>
      </c>
      <c r="F6" s="21">
        <v>0.37845147559421816</v>
      </c>
      <c r="G6" s="11" t="str">
        <f t="shared" si="0"/>
        <v>Intermediate</v>
      </c>
    </row>
    <row r="7" spans="1:7" x14ac:dyDescent="0.3">
      <c r="A7" s="54"/>
      <c r="B7" s="21">
        <v>4</v>
      </c>
      <c r="C7" s="21">
        <v>0.34090909090909088</v>
      </c>
      <c r="D7" s="21">
        <v>0.8</v>
      </c>
      <c r="E7" s="28">
        <v>1.729513536312113E-2</v>
      </c>
      <c r="F7" s="21">
        <v>0.38606807542407068</v>
      </c>
      <c r="G7" s="11" t="str">
        <f t="shared" si="0"/>
        <v>Intermediate</v>
      </c>
    </row>
    <row r="8" spans="1:7" x14ac:dyDescent="0.3">
      <c r="A8" s="54"/>
      <c r="B8" s="21">
        <v>5</v>
      </c>
      <c r="C8" s="21">
        <v>0.45454545454545447</v>
      </c>
      <c r="D8" s="21">
        <v>0.8</v>
      </c>
      <c r="E8" s="28">
        <v>1.8908628443390009E-2</v>
      </c>
      <c r="F8" s="29">
        <v>0.42448469432961478</v>
      </c>
      <c r="G8" s="12" t="str">
        <f t="shared" si="0"/>
        <v>Intermediate</v>
      </c>
    </row>
    <row r="9" spans="1:7" x14ac:dyDescent="0.3">
      <c r="A9" s="53" t="s">
        <v>6</v>
      </c>
      <c r="B9" s="26">
        <v>1</v>
      </c>
      <c r="C9" s="26">
        <v>0.84090909090909072</v>
      </c>
      <c r="D9" s="26">
        <v>0.4</v>
      </c>
      <c r="E9" s="27">
        <v>1.8930406221167786E-2</v>
      </c>
      <c r="F9" s="26">
        <v>0.41994649904341946</v>
      </c>
      <c r="G9" s="10" t="str">
        <f t="shared" si="0"/>
        <v>Intermediate</v>
      </c>
    </row>
    <row r="10" spans="1:7" x14ac:dyDescent="0.3">
      <c r="A10" s="54"/>
      <c r="B10" s="21">
        <v>2</v>
      </c>
      <c r="C10" s="21">
        <v>0.74999999999999989</v>
      </c>
      <c r="D10" s="21">
        <v>0.8</v>
      </c>
      <c r="E10" s="28">
        <v>1.9026142085145643E-2</v>
      </c>
      <c r="F10" s="21">
        <v>0.52300871402838178</v>
      </c>
      <c r="G10" s="11" t="str">
        <f t="shared" si="0"/>
        <v>Intermediate</v>
      </c>
    </row>
    <row r="11" spans="1:7" x14ac:dyDescent="0.3">
      <c r="A11" s="54"/>
      <c r="B11" s="21">
        <v>3</v>
      </c>
      <c r="C11" s="21">
        <v>0.72727272727272718</v>
      </c>
      <c r="D11" s="21">
        <v>0.6</v>
      </c>
      <c r="E11" s="28">
        <v>1.7753653354422038E-2</v>
      </c>
      <c r="F11" s="21">
        <v>0.4483421268757164</v>
      </c>
      <c r="G11" s="11" t="str">
        <f t="shared" si="0"/>
        <v>Intermediate</v>
      </c>
    </row>
    <row r="12" spans="1:7" x14ac:dyDescent="0.3">
      <c r="A12" s="54"/>
      <c r="B12" s="21">
        <v>4</v>
      </c>
      <c r="C12" s="21">
        <v>0.59090909090909083</v>
      </c>
      <c r="D12" s="21">
        <v>0.6</v>
      </c>
      <c r="E12" s="28">
        <v>1.3378146830104125E-2</v>
      </c>
      <c r="F12" s="21">
        <v>0.40142907924639837</v>
      </c>
      <c r="G12" s="11" t="str">
        <f t="shared" si="0"/>
        <v>Intermediate</v>
      </c>
    </row>
    <row r="13" spans="1:7" x14ac:dyDescent="0.3">
      <c r="A13" s="54"/>
      <c r="B13" s="21">
        <v>5</v>
      </c>
      <c r="C13" s="21">
        <v>0.7954545454545453</v>
      </c>
      <c r="D13" s="21">
        <v>0.8</v>
      </c>
      <c r="E13" s="28">
        <v>1.0834996177672335E-2</v>
      </c>
      <c r="F13" s="21">
        <v>0.53542984721073916</v>
      </c>
      <c r="G13" s="11" t="str">
        <f t="shared" si="0"/>
        <v>Intermediate</v>
      </c>
    </row>
    <row r="14" spans="1:7" x14ac:dyDescent="0.3">
      <c r="A14" s="54"/>
      <c r="B14" s="21">
        <v>6</v>
      </c>
      <c r="C14" s="21">
        <v>0.43181818181818182</v>
      </c>
      <c r="D14" s="21">
        <v>0.8</v>
      </c>
      <c r="E14" s="28">
        <v>9.3940608936338467E-3</v>
      </c>
      <c r="F14" s="21">
        <v>0.41373741423727189</v>
      </c>
      <c r="G14" s="11" t="str">
        <f t="shared" si="0"/>
        <v>Intermediate</v>
      </c>
    </row>
    <row r="15" spans="1:7" x14ac:dyDescent="0.3">
      <c r="A15" s="54"/>
      <c r="B15" s="21">
        <v>7</v>
      </c>
      <c r="C15" s="21">
        <v>0.54545454545454541</v>
      </c>
      <c r="D15" s="21">
        <v>0.8</v>
      </c>
      <c r="E15" s="28">
        <v>9.3185712402794243E-3</v>
      </c>
      <c r="F15" s="21">
        <v>0.45159103889827495</v>
      </c>
      <c r="G15" s="11" t="str">
        <f t="shared" si="0"/>
        <v>Intermediate</v>
      </c>
    </row>
    <row r="16" spans="1:7" x14ac:dyDescent="0.3">
      <c r="A16" s="54"/>
      <c r="B16" s="21">
        <v>8</v>
      </c>
      <c r="C16" s="21">
        <v>0.97727272727272707</v>
      </c>
      <c r="D16" s="21">
        <v>0.8</v>
      </c>
      <c r="E16" s="28">
        <v>5.8545132463424278E-3</v>
      </c>
      <c r="F16" s="21">
        <v>0.59437574683968974</v>
      </c>
      <c r="G16" s="11" t="str">
        <f t="shared" si="0"/>
        <v>Intermediate</v>
      </c>
    </row>
    <row r="17" spans="1:7" x14ac:dyDescent="0.3">
      <c r="A17" s="54"/>
      <c r="B17" s="21">
        <v>9</v>
      </c>
      <c r="C17" s="21">
        <v>0.7954545454545453</v>
      </c>
      <c r="D17" s="21">
        <v>0.8</v>
      </c>
      <c r="E17" s="28">
        <v>1.0232813496770793E-2</v>
      </c>
      <c r="F17" s="21">
        <v>0.53522911965043862</v>
      </c>
      <c r="G17" s="11" t="str">
        <f t="shared" si="0"/>
        <v>Intermediate</v>
      </c>
    </row>
    <row r="18" spans="1:7" x14ac:dyDescent="0.3">
      <c r="A18" s="54"/>
      <c r="B18" s="21">
        <v>10</v>
      </c>
      <c r="C18" s="21">
        <v>0.65909090909090895</v>
      </c>
      <c r="D18" s="21">
        <v>1</v>
      </c>
      <c r="E18" s="28">
        <v>1.7554265454066166E-2</v>
      </c>
      <c r="F18" s="29">
        <v>0.55888172484832499</v>
      </c>
      <c r="G18" s="12" t="str">
        <f t="shared" si="0"/>
        <v>Intermediate</v>
      </c>
    </row>
    <row r="19" spans="1:7" x14ac:dyDescent="0.3">
      <c r="A19" s="53" t="s">
        <v>7</v>
      </c>
      <c r="B19" s="26">
        <v>1</v>
      </c>
      <c r="C19" s="26">
        <v>0.70454545454545447</v>
      </c>
      <c r="D19" s="26">
        <v>0.4</v>
      </c>
      <c r="E19" s="27">
        <v>1.7760643205483064E-2</v>
      </c>
      <c r="F19" s="26">
        <v>0.37410203258364583</v>
      </c>
      <c r="G19" s="10" t="str">
        <f t="shared" si="0"/>
        <v>Intermediate</v>
      </c>
    </row>
    <row r="20" spans="1:7" x14ac:dyDescent="0.3">
      <c r="A20" s="54"/>
      <c r="B20" s="21">
        <v>2</v>
      </c>
      <c r="C20" s="21">
        <v>0.81818181818181812</v>
      </c>
      <c r="D20" s="21">
        <v>0.8</v>
      </c>
      <c r="E20" s="28">
        <v>7.3208749520060059E-3</v>
      </c>
      <c r="F20" s="21">
        <v>0.54183423104460804</v>
      </c>
      <c r="G20" s="11" t="str">
        <f t="shared" si="0"/>
        <v>Intermediate</v>
      </c>
    </row>
    <row r="21" spans="1:7" x14ac:dyDescent="0.3">
      <c r="A21" s="54"/>
      <c r="B21" s="21">
        <v>3</v>
      </c>
      <c r="C21" s="21">
        <v>0.63636363636363635</v>
      </c>
      <c r="D21" s="21">
        <v>0.6</v>
      </c>
      <c r="E21" s="28">
        <v>6.8750876924450581E-3</v>
      </c>
      <c r="F21" s="21">
        <v>0.41441290801869379</v>
      </c>
      <c r="G21" s="11" t="str">
        <f t="shared" si="0"/>
        <v>Intermediate</v>
      </c>
    </row>
    <row r="22" spans="1:7" x14ac:dyDescent="0.3">
      <c r="A22" s="54"/>
      <c r="B22" s="21">
        <v>4</v>
      </c>
      <c r="C22" s="21">
        <v>0.56818181818181812</v>
      </c>
      <c r="D22" s="21">
        <v>0.6</v>
      </c>
      <c r="E22" s="28">
        <v>7.2756030051403736E-3</v>
      </c>
      <c r="F22" s="21">
        <v>0.3918191403956528</v>
      </c>
      <c r="G22" s="11" t="str">
        <f t="shared" si="0"/>
        <v>Intermediate</v>
      </c>
    </row>
    <row r="23" spans="1:7" x14ac:dyDescent="0.3">
      <c r="A23" s="54"/>
      <c r="B23" s="21">
        <v>5</v>
      </c>
      <c r="C23" s="21">
        <v>0.70454545454545447</v>
      </c>
      <c r="D23" s="21">
        <v>0.8</v>
      </c>
      <c r="E23" s="28">
        <v>1.0834997786361962E-2</v>
      </c>
      <c r="F23" s="21">
        <v>0.50512681744393872</v>
      </c>
      <c r="G23" s="11" t="str">
        <f t="shared" si="0"/>
        <v>Intermediate</v>
      </c>
    </row>
    <row r="24" spans="1:7" x14ac:dyDescent="0.3">
      <c r="A24" s="54"/>
      <c r="B24" s="21">
        <v>6</v>
      </c>
      <c r="C24" s="21">
        <v>0.81818181818181812</v>
      </c>
      <c r="D24" s="21">
        <v>0.4</v>
      </c>
      <c r="E24" s="28">
        <v>6.8313941260106171E-3</v>
      </c>
      <c r="F24" s="21">
        <v>0.40833773743594293</v>
      </c>
      <c r="G24" s="11" t="str">
        <f t="shared" si="0"/>
        <v>Intermediate</v>
      </c>
    </row>
    <row r="25" spans="1:7" x14ac:dyDescent="0.3">
      <c r="A25" s="54"/>
      <c r="B25" s="21">
        <v>7</v>
      </c>
      <c r="C25" s="21">
        <v>0.95454545454545447</v>
      </c>
      <c r="D25" s="21">
        <v>0.6</v>
      </c>
      <c r="E25" s="28">
        <v>1.1163832872017925E-2</v>
      </c>
      <c r="F25" s="21">
        <v>0.52190309580582406</v>
      </c>
      <c r="G25" s="11" t="str">
        <f t="shared" si="0"/>
        <v>Intermediate</v>
      </c>
    </row>
    <row r="26" spans="1:7" x14ac:dyDescent="0.3">
      <c r="A26" s="54"/>
      <c r="B26" s="21">
        <v>8</v>
      </c>
      <c r="C26" s="21">
        <v>0.56818181818181812</v>
      </c>
      <c r="D26" s="21">
        <v>0.8</v>
      </c>
      <c r="E26" s="28">
        <v>9.3940592161232718E-3</v>
      </c>
      <c r="F26" s="21">
        <v>0.4591919591326471</v>
      </c>
      <c r="G26" s="11" t="str">
        <f t="shared" si="0"/>
        <v>Intermediate</v>
      </c>
    </row>
    <row r="27" spans="1:7" x14ac:dyDescent="0.3">
      <c r="A27" s="54"/>
      <c r="B27" s="21">
        <v>9</v>
      </c>
      <c r="C27" s="21">
        <v>0.81818181818181812</v>
      </c>
      <c r="D27" s="21">
        <v>0.8</v>
      </c>
      <c r="E27" s="28">
        <v>1.3822687132295675E-2</v>
      </c>
      <c r="F27" s="21">
        <v>0.5440015017713713</v>
      </c>
      <c r="G27" s="11" t="str">
        <f t="shared" si="0"/>
        <v>Intermediate</v>
      </c>
    </row>
    <row r="28" spans="1:7" x14ac:dyDescent="0.3">
      <c r="A28" s="54"/>
      <c r="B28" s="21">
        <v>10</v>
      </c>
      <c r="C28" s="21">
        <v>0.81818181818181812</v>
      </c>
      <c r="D28" s="21">
        <v>0.6</v>
      </c>
      <c r="E28" s="28">
        <v>7.4405710957197594E-3</v>
      </c>
      <c r="F28" s="21">
        <v>0.47520746309251255</v>
      </c>
      <c r="G28" s="11" t="str">
        <f t="shared" si="0"/>
        <v>Intermediate</v>
      </c>
    </row>
    <row r="29" spans="1:7" x14ac:dyDescent="0.3">
      <c r="A29" s="54"/>
      <c r="B29" s="21">
        <v>11</v>
      </c>
      <c r="C29" s="21">
        <v>0.88636363636363624</v>
      </c>
      <c r="D29" s="21">
        <v>0.8</v>
      </c>
      <c r="E29" s="28">
        <v>5.8545119043339668E-3</v>
      </c>
      <c r="F29" s="21">
        <v>0.56407271608932341</v>
      </c>
      <c r="G29" s="11" t="str">
        <f t="shared" si="0"/>
        <v>Intermediate</v>
      </c>
    </row>
    <row r="30" spans="1:7" x14ac:dyDescent="0.3">
      <c r="A30" s="54"/>
      <c r="B30" s="21">
        <v>12</v>
      </c>
      <c r="C30" s="21">
        <v>0.84090909090909072</v>
      </c>
      <c r="D30" s="21">
        <v>0.8</v>
      </c>
      <c r="E30" s="28">
        <v>1.0232814503277137E-2</v>
      </c>
      <c r="F30" s="21">
        <v>0.55038063513745583</v>
      </c>
      <c r="G30" s="11" t="str">
        <f t="shared" si="0"/>
        <v>Intermediate</v>
      </c>
    </row>
    <row r="31" spans="1:7" x14ac:dyDescent="0.3">
      <c r="A31" s="54"/>
      <c r="B31" s="21">
        <v>13</v>
      </c>
      <c r="C31" s="21">
        <v>0.65909090909090895</v>
      </c>
      <c r="D31" s="21">
        <v>0.8</v>
      </c>
      <c r="E31" s="28">
        <v>1.7554265259828099E-2</v>
      </c>
      <c r="F31" s="21">
        <v>0.49221505811691235</v>
      </c>
      <c r="G31" s="11" t="str">
        <f t="shared" si="0"/>
        <v>Intermediate</v>
      </c>
    </row>
    <row r="32" spans="1:7" x14ac:dyDescent="0.3">
      <c r="A32" s="54"/>
      <c r="B32" s="21">
        <v>14</v>
      </c>
      <c r="C32" s="21">
        <v>0.63636363636363635</v>
      </c>
      <c r="D32" s="21">
        <v>0.6</v>
      </c>
      <c r="E32" s="28">
        <v>8.3036773428232496E-3</v>
      </c>
      <c r="F32" s="21">
        <v>0.41488910456881989</v>
      </c>
      <c r="G32" s="11" t="str">
        <f t="shared" si="0"/>
        <v>Intermediate</v>
      </c>
    </row>
    <row r="33" spans="1:7" x14ac:dyDescent="0.3">
      <c r="A33" s="54"/>
      <c r="B33" s="21">
        <v>15</v>
      </c>
      <c r="C33" s="21">
        <v>0.59090909090909083</v>
      </c>
      <c r="D33" s="21">
        <v>0.6</v>
      </c>
      <c r="E33" s="28">
        <v>1.4454549448618251E-2</v>
      </c>
      <c r="F33" s="29">
        <v>0.40178788011923638</v>
      </c>
      <c r="G33" s="12" t="str">
        <f t="shared" si="0"/>
        <v>Intermediate</v>
      </c>
    </row>
    <row r="34" spans="1:7" x14ac:dyDescent="0.3">
      <c r="A34" s="53" t="s">
        <v>8</v>
      </c>
      <c r="B34" s="26">
        <v>1</v>
      </c>
      <c r="C34" s="26">
        <v>0.72727272727272718</v>
      </c>
      <c r="D34" s="26">
        <v>0.4</v>
      </c>
      <c r="E34" s="27">
        <v>1.8891244082306448E-2</v>
      </c>
      <c r="F34" s="26">
        <v>0.38205465711834452</v>
      </c>
      <c r="G34" s="10" t="str">
        <f t="shared" si="0"/>
        <v>Intermediate</v>
      </c>
    </row>
    <row r="35" spans="1:7" x14ac:dyDescent="0.3">
      <c r="A35" s="54"/>
      <c r="B35" s="21">
        <v>2</v>
      </c>
      <c r="C35" s="21">
        <v>9.0909090909090884E-2</v>
      </c>
      <c r="D35" s="21">
        <v>0.6</v>
      </c>
      <c r="E35" s="28">
        <v>1</v>
      </c>
      <c r="F35" s="21">
        <v>0.5636363636363636</v>
      </c>
      <c r="G35" s="11" t="str">
        <f t="shared" si="0"/>
        <v>Intermediate</v>
      </c>
    </row>
    <row r="36" spans="1:7" x14ac:dyDescent="0.3">
      <c r="A36" s="54"/>
      <c r="B36" s="21">
        <v>3</v>
      </c>
      <c r="C36" s="21">
        <v>0.61363636363636354</v>
      </c>
      <c r="D36" s="21">
        <v>0.4</v>
      </c>
      <c r="E36" s="28">
        <v>1.0894140787379223E-2</v>
      </c>
      <c r="F36" s="21">
        <v>0.34151016814124763</v>
      </c>
      <c r="G36" s="11" t="str">
        <f t="shared" si="0"/>
        <v>Intermediate</v>
      </c>
    </row>
    <row r="37" spans="1:7" x14ac:dyDescent="0.3">
      <c r="A37" s="54"/>
      <c r="B37" s="21">
        <v>4</v>
      </c>
      <c r="C37" s="21">
        <v>0.7954545454545453</v>
      </c>
      <c r="D37" s="21">
        <v>0.4</v>
      </c>
      <c r="E37" s="28">
        <v>3.690523263477E-3</v>
      </c>
      <c r="F37" s="21">
        <v>0.39971502290600741</v>
      </c>
      <c r="G37" s="11" t="str">
        <f t="shared" si="0"/>
        <v>Intermediate</v>
      </c>
    </row>
    <row r="38" spans="1:7" x14ac:dyDescent="0.3">
      <c r="A38" s="54"/>
      <c r="B38" s="21">
        <v>5</v>
      </c>
      <c r="C38" s="21">
        <v>0.56818181818181812</v>
      </c>
      <c r="D38" s="21">
        <v>0.6</v>
      </c>
      <c r="E38" s="28">
        <v>6.5609302461813335E-3</v>
      </c>
      <c r="F38" s="29">
        <v>0.39158091614266644</v>
      </c>
      <c r="G38" s="12" t="str">
        <f t="shared" si="0"/>
        <v>Intermediate</v>
      </c>
    </row>
    <row r="39" spans="1:7" x14ac:dyDescent="0.3">
      <c r="A39" s="53" t="s">
        <v>9</v>
      </c>
      <c r="B39" s="26">
        <v>1</v>
      </c>
      <c r="C39" s="26">
        <v>0.72727272727272718</v>
      </c>
      <c r="D39" s="26">
        <v>0.6</v>
      </c>
      <c r="E39" s="27">
        <v>1.9601858210836171E-2</v>
      </c>
      <c r="F39" s="26">
        <v>0.44895819516118773</v>
      </c>
      <c r="G39" s="10" t="str">
        <f t="shared" si="0"/>
        <v>Intermediate</v>
      </c>
    </row>
    <row r="40" spans="1:7" x14ac:dyDescent="0.3">
      <c r="A40" s="54"/>
      <c r="B40" s="21">
        <v>2</v>
      </c>
      <c r="C40" s="21">
        <v>0.11363636363636365</v>
      </c>
      <c r="D40" s="21">
        <v>0.6</v>
      </c>
      <c r="E40" s="28">
        <v>0.2106791982236822</v>
      </c>
      <c r="F40" s="21">
        <v>0.3081051872866819</v>
      </c>
      <c r="G40" s="11" t="str">
        <f t="shared" si="0"/>
        <v>Intermediate</v>
      </c>
    </row>
    <row r="41" spans="1:7" x14ac:dyDescent="0.3">
      <c r="A41" s="54"/>
      <c r="B41" s="21">
        <v>3</v>
      </c>
      <c r="C41" s="21">
        <v>0.59090909090909083</v>
      </c>
      <c r="D41" s="21">
        <v>0.2</v>
      </c>
      <c r="E41" s="28">
        <v>1.0894140787379223E-2</v>
      </c>
      <c r="F41" s="21">
        <v>0.26726774389882335</v>
      </c>
      <c r="G41" s="11" t="str">
        <f t="shared" si="0"/>
        <v>Intermediate</v>
      </c>
    </row>
    <row r="42" spans="1:7" x14ac:dyDescent="0.3">
      <c r="A42" s="54"/>
      <c r="B42" s="21">
        <v>4</v>
      </c>
      <c r="C42" s="21">
        <v>0.65909090909090895</v>
      </c>
      <c r="D42" s="21">
        <v>0</v>
      </c>
      <c r="E42" s="28">
        <v>6.300250428364307E-3</v>
      </c>
      <c r="F42" s="21">
        <v>0.22179705317309109</v>
      </c>
      <c r="G42" s="13" t="str">
        <f t="shared" si="0"/>
        <v>Bad</v>
      </c>
    </row>
    <row r="43" spans="1:7" x14ac:dyDescent="0.3">
      <c r="A43" s="54"/>
      <c r="B43" s="21">
        <v>5</v>
      </c>
      <c r="C43" s="21">
        <v>0.45454545454545447</v>
      </c>
      <c r="D43" s="21">
        <v>0.8</v>
      </c>
      <c r="E43" s="28">
        <v>1.0731653174058118E-2</v>
      </c>
      <c r="F43" s="21">
        <v>0.42175903590650421</v>
      </c>
      <c r="G43" s="11" t="str">
        <f t="shared" si="0"/>
        <v>Intermediate</v>
      </c>
    </row>
    <row r="44" spans="1:7" x14ac:dyDescent="0.3">
      <c r="A44" s="54"/>
      <c r="B44" s="21">
        <v>6</v>
      </c>
      <c r="C44" s="21">
        <v>0.36363636363636365</v>
      </c>
      <c r="D44" s="21">
        <v>0.4</v>
      </c>
      <c r="E44" s="28">
        <v>8.2198018141078633E-3</v>
      </c>
      <c r="F44" s="21">
        <v>0.25728538848349047</v>
      </c>
      <c r="G44" s="11" t="str">
        <f t="shared" si="0"/>
        <v>Intermediate</v>
      </c>
    </row>
    <row r="45" spans="1:7" x14ac:dyDescent="0.3">
      <c r="A45" s="54"/>
      <c r="B45" s="21">
        <v>7</v>
      </c>
      <c r="C45" s="21">
        <v>0.88636363636363624</v>
      </c>
      <c r="D45" s="21">
        <v>0.6</v>
      </c>
      <c r="E45" s="28">
        <v>0</v>
      </c>
      <c r="F45" s="21">
        <v>0.49545454545454543</v>
      </c>
      <c r="G45" s="11" t="str">
        <f t="shared" si="0"/>
        <v>Intermediate</v>
      </c>
    </row>
    <row r="46" spans="1:7" x14ac:dyDescent="0.3">
      <c r="A46" s="54"/>
      <c r="B46" s="21">
        <v>8</v>
      </c>
      <c r="C46" s="21">
        <v>0.74999999999999989</v>
      </c>
      <c r="D46" s="21">
        <v>0.2</v>
      </c>
      <c r="E46" s="28">
        <v>6.5609302461813335E-3</v>
      </c>
      <c r="F46" s="21">
        <v>0.31885364341539374</v>
      </c>
      <c r="G46" s="11" t="str">
        <f t="shared" si="0"/>
        <v>Intermediate</v>
      </c>
    </row>
    <row r="47" spans="1:7" x14ac:dyDescent="0.3">
      <c r="A47" s="54"/>
      <c r="B47" s="21">
        <v>9</v>
      </c>
      <c r="C47" s="21">
        <v>1</v>
      </c>
      <c r="D47" s="21">
        <v>0.4</v>
      </c>
      <c r="E47" s="28">
        <v>3.690523263477E-3</v>
      </c>
      <c r="F47" s="21">
        <v>0.46789684108782559</v>
      </c>
      <c r="G47" s="11" t="str">
        <f t="shared" si="0"/>
        <v>Intermediate</v>
      </c>
    </row>
    <row r="48" spans="1:7" x14ac:dyDescent="0.3">
      <c r="A48" s="54"/>
      <c r="B48" s="21">
        <v>10</v>
      </c>
      <c r="C48" s="21">
        <v>0.86363636363636365</v>
      </c>
      <c r="D48" s="21">
        <v>0.6</v>
      </c>
      <c r="E48" s="28">
        <v>0</v>
      </c>
      <c r="F48" s="29">
        <v>0.48787878787878786</v>
      </c>
      <c r="G48" s="12" t="str">
        <f t="shared" si="0"/>
        <v>Intermediate</v>
      </c>
    </row>
    <row r="49" spans="1:7" x14ac:dyDescent="0.3">
      <c r="A49" s="53" t="s">
        <v>10</v>
      </c>
      <c r="B49" s="26">
        <v>1</v>
      </c>
      <c r="C49" s="26">
        <v>0.61363636363636354</v>
      </c>
      <c r="D49" s="26">
        <v>0.8</v>
      </c>
      <c r="E49" s="27">
        <v>1.9601858210836171E-2</v>
      </c>
      <c r="F49" s="26">
        <v>0.47774607394906654</v>
      </c>
      <c r="G49" s="10" t="str">
        <f t="shared" si="0"/>
        <v>Intermediate</v>
      </c>
    </row>
    <row r="50" spans="1:7" x14ac:dyDescent="0.3">
      <c r="A50" s="54"/>
      <c r="B50" s="21">
        <v>2</v>
      </c>
      <c r="C50" s="21">
        <v>4.545454545454547E-2</v>
      </c>
      <c r="D50" s="21">
        <v>0.8</v>
      </c>
      <c r="E50" s="28">
        <v>0.2106791982236822</v>
      </c>
      <c r="F50" s="21">
        <v>0.35204458122607585</v>
      </c>
      <c r="G50" s="11" t="str">
        <f t="shared" si="0"/>
        <v>Intermediate</v>
      </c>
    </row>
    <row r="51" spans="1:7" x14ac:dyDescent="0.3">
      <c r="A51" s="54"/>
      <c r="B51" s="21">
        <v>3</v>
      </c>
      <c r="C51" s="21">
        <v>0.5227272727272726</v>
      </c>
      <c r="D51" s="21">
        <v>0.4</v>
      </c>
      <c r="E51" s="28">
        <v>1.0894140787379223E-2</v>
      </c>
      <c r="F51" s="21">
        <v>0.3112071378382173</v>
      </c>
      <c r="G51" s="11" t="str">
        <f t="shared" si="0"/>
        <v>Intermediate</v>
      </c>
    </row>
    <row r="52" spans="1:7" x14ac:dyDescent="0.3">
      <c r="A52" s="54"/>
      <c r="B52" s="21">
        <v>4</v>
      </c>
      <c r="C52" s="21">
        <v>0.56818181818181812</v>
      </c>
      <c r="D52" s="21">
        <v>0.2</v>
      </c>
      <c r="E52" s="28">
        <v>6.300250428364307E-3</v>
      </c>
      <c r="F52" s="21">
        <v>0.25816068953672744</v>
      </c>
      <c r="G52" s="11" t="str">
        <f t="shared" si="0"/>
        <v>Intermediate</v>
      </c>
    </row>
    <row r="53" spans="1:7" x14ac:dyDescent="0.3">
      <c r="A53" s="54"/>
      <c r="B53" s="21">
        <v>5</v>
      </c>
      <c r="C53" s="21">
        <v>0.74999999999999989</v>
      </c>
      <c r="D53" s="21">
        <v>0.6</v>
      </c>
      <c r="E53" s="28">
        <v>6.6890734150520624E-3</v>
      </c>
      <c r="F53" s="21">
        <v>0.4522296911383506</v>
      </c>
      <c r="G53" s="11" t="str">
        <f t="shared" si="0"/>
        <v>Intermediate</v>
      </c>
    </row>
    <row r="54" spans="1:7" x14ac:dyDescent="0.3">
      <c r="A54" s="54"/>
      <c r="B54" s="21">
        <v>6</v>
      </c>
      <c r="C54" s="21">
        <v>0.84090909090909072</v>
      </c>
      <c r="D54" s="21">
        <v>0.8</v>
      </c>
      <c r="E54" s="28">
        <v>1.0929626587989578E-2</v>
      </c>
      <c r="F54" s="21">
        <v>0.55061290583236011</v>
      </c>
      <c r="G54" s="11" t="str">
        <f t="shared" si="0"/>
        <v>Intermediate</v>
      </c>
    </row>
    <row r="55" spans="1:7" x14ac:dyDescent="0.3">
      <c r="A55" s="54"/>
      <c r="B55" s="21">
        <v>7</v>
      </c>
      <c r="C55" s="21">
        <v>0.88636363636363624</v>
      </c>
      <c r="D55" s="21">
        <v>0.6</v>
      </c>
      <c r="E55" s="28">
        <v>6.4584157110847504E-3</v>
      </c>
      <c r="F55" s="21">
        <v>0.49760735069157369</v>
      </c>
      <c r="G55" s="11" t="str">
        <f t="shared" si="0"/>
        <v>Intermediate</v>
      </c>
    </row>
    <row r="56" spans="1:7" x14ac:dyDescent="0.3">
      <c r="A56" s="54"/>
      <c r="B56" s="21">
        <v>8</v>
      </c>
      <c r="C56" s="21">
        <v>0.68181818181818177</v>
      </c>
      <c r="D56" s="21">
        <v>0.8</v>
      </c>
      <c r="E56" s="28">
        <v>8.6112209481129989E-3</v>
      </c>
      <c r="F56" s="21">
        <v>0.49680980092209831</v>
      </c>
      <c r="G56" s="11" t="str">
        <f t="shared" si="0"/>
        <v>Intermediate</v>
      </c>
    </row>
    <row r="57" spans="1:7" x14ac:dyDescent="0.3">
      <c r="A57" s="54"/>
      <c r="B57" s="21">
        <v>9</v>
      </c>
      <c r="C57" s="21">
        <v>0.90909090909090895</v>
      </c>
      <c r="D57" s="21">
        <v>0.6</v>
      </c>
      <c r="E57" s="28">
        <v>0</v>
      </c>
      <c r="F57" s="21">
        <v>0.50303030303030294</v>
      </c>
      <c r="G57" s="11" t="str">
        <f t="shared" si="0"/>
        <v>Intermediate</v>
      </c>
    </row>
    <row r="58" spans="1:7" x14ac:dyDescent="0.3">
      <c r="A58" s="54"/>
      <c r="B58" s="21">
        <v>10</v>
      </c>
      <c r="C58" s="21">
        <v>0.95454545454545447</v>
      </c>
      <c r="D58" s="21">
        <v>0.8</v>
      </c>
      <c r="E58" s="28">
        <v>0</v>
      </c>
      <c r="F58" s="21">
        <v>0.58484848484848473</v>
      </c>
      <c r="G58" s="11" t="str">
        <f t="shared" si="0"/>
        <v>Intermediate</v>
      </c>
    </row>
    <row r="59" spans="1:7" x14ac:dyDescent="0.3">
      <c r="A59" s="54"/>
      <c r="B59" s="21">
        <v>11</v>
      </c>
      <c r="C59" s="21">
        <v>0.68181818181818177</v>
      </c>
      <c r="D59" s="21">
        <v>0.8</v>
      </c>
      <c r="E59" s="28">
        <v>6.5609302461813335E-3</v>
      </c>
      <c r="F59" s="21">
        <v>0.49612637068812104</v>
      </c>
      <c r="G59" s="11" t="str">
        <f t="shared" si="0"/>
        <v>Intermediate</v>
      </c>
    </row>
    <row r="60" spans="1:7" x14ac:dyDescent="0.3">
      <c r="A60" s="54"/>
      <c r="B60" s="21">
        <v>12</v>
      </c>
      <c r="C60" s="21">
        <v>0.81818181818181812</v>
      </c>
      <c r="D60" s="21">
        <v>0.8</v>
      </c>
      <c r="E60" s="28">
        <v>3.690523263477E-3</v>
      </c>
      <c r="F60" s="21">
        <v>0.54062411381509834</v>
      </c>
      <c r="G60" s="11" t="str">
        <f t="shared" si="0"/>
        <v>Intermediate</v>
      </c>
    </row>
    <row r="61" spans="1:7" x14ac:dyDescent="0.3">
      <c r="A61" s="54"/>
      <c r="B61" s="21">
        <v>13</v>
      </c>
      <c r="C61" s="21">
        <v>0.81818181818181812</v>
      </c>
      <c r="D61" s="21">
        <v>0.8</v>
      </c>
      <c r="E61" s="28">
        <v>3.9980668687667493E-3</v>
      </c>
      <c r="F61" s="21">
        <v>0.54072662835019492</v>
      </c>
      <c r="G61" s="11" t="str">
        <f t="shared" si="0"/>
        <v>Intermediate</v>
      </c>
    </row>
    <row r="62" spans="1:7" x14ac:dyDescent="0.3">
      <c r="A62" s="54"/>
      <c r="B62" s="21">
        <v>14</v>
      </c>
      <c r="C62" s="21">
        <v>0.97727272727272707</v>
      </c>
      <c r="D62" s="21">
        <v>0.8</v>
      </c>
      <c r="E62" s="28">
        <v>3.690523263477E-3</v>
      </c>
      <c r="F62" s="21">
        <v>0.59365441684540132</v>
      </c>
      <c r="G62" s="11" t="str">
        <f t="shared" si="0"/>
        <v>Intermediate</v>
      </c>
    </row>
    <row r="63" spans="1:7" x14ac:dyDescent="0.3">
      <c r="A63" s="54"/>
      <c r="B63" s="21">
        <v>15</v>
      </c>
      <c r="C63" s="21">
        <v>0.7954545454545453</v>
      </c>
      <c r="D63" s="21">
        <v>0.6</v>
      </c>
      <c r="E63" s="28">
        <v>0</v>
      </c>
      <c r="F63" s="29">
        <v>0.46515151515151509</v>
      </c>
      <c r="G63" s="12" t="str">
        <f t="shared" si="0"/>
        <v>Intermediate</v>
      </c>
    </row>
    <row r="64" spans="1:7" x14ac:dyDescent="0.3">
      <c r="A64" s="53" t="s">
        <v>11</v>
      </c>
      <c r="B64" s="26">
        <v>1</v>
      </c>
      <c r="C64" s="26">
        <v>0.45454545454545447</v>
      </c>
      <c r="D64" s="26">
        <v>0.4</v>
      </c>
      <c r="E64" s="27">
        <v>2.755231902523322E-2</v>
      </c>
      <c r="F64" s="26">
        <v>0.29403259119022923</v>
      </c>
      <c r="G64" s="10" t="str">
        <f t="shared" si="0"/>
        <v>Intermediate</v>
      </c>
    </row>
    <row r="65" spans="1:7" x14ac:dyDescent="0.3">
      <c r="A65" s="54"/>
      <c r="B65" s="21">
        <v>2</v>
      </c>
      <c r="C65" s="21">
        <v>0.31818181818181812</v>
      </c>
      <c r="D65" s="21">
        <v>0.6</v>
      </c>
      <c r="E65" s="28">
        <v>5.7426342234952604E-2</v>
      </c>
      <c r="F65" s="21">
        <v>0.32520272013892354</v>
      </c>
      <c r="G65" s="11" t="str">
        <f t="shared" si="0"/>
        <v>Intermediate</v>
      </c>
    </row>
    <row r="66" spans="1:7" x14ac:dyDescent="0.3">
      <c r="A66" s="54"/>
      <c r="B66" s="21">
        <v>3</v>
      </c>
      <c r="C66" s="21">
        <v>0.81818181818181812</v>
      </c>
      <c r="D66" s="21">
        <v>0.6</v>
      </c>
      <c r="E66" s="28">
        <v>3.0541130295974109E-2</v>
      </c>
      <c r="F66" s="21">
        <v>0.48290764949259735</v>
      </c>
      <c r="G66" s="11" t="str">
        <f t="shared" si="0"/>
        <v>Intermediate</v>
      </c>
    </row>
    <row r="67" spans="1:7" x14ac:dyDescent="0.3">
      <c r="A67" s="54"/>
      <c r="B67" s="21">
        <v>4</v>
      </c>
      <c r="C67" s="21">
        <v>0.36363636363636365</v>
      </c>
      <c r="D67" s="21">
        <v>0.6</v>
      </c>
      <c r="E67" s="28">
        <v>4.5253016231229903E-2</v>
      </c>
      <c r="F67" s="21">
        <v>0.33629645995586449</v>
      </c>
      <c r="G67" s="11" t="str">
        <f t="shared" si="0"/>
        <v>Intermediate</v>
      </c>
    </row>
    <row r="68" spans="1:7" x14ac:dyDescent="0.3">
      <c r="A68" s="54"/>
      <c r="B68" s="21">
        <v>5</v>
      </c>
      <c r="C68" s="21">
        <v>0.56818181818181812</v>
      </c>
      <c r="D68" s="21">
        <v>0.8</v>
      </c>
      <c r="E68" s="28">
        <v>2.4040502717496644E-2</v>
      </c>
      <c r="F68" s="29">
        <v>0.46407410696643825</v>
      </c>
      <c r="G68" s="12" t="str">
        <f t="shared" si="0"/>
        <v>Intermediate</v>
      </c>
    </row>
    <row r="69" spans="1:7" x14ac:dyDescent="0.3">
      <c r="A69" s="53" t="s">
        <v>12</v>
      </c>
      <c r="B69" s="26">
        <v>1</v>
      </c>
      <c r="C69" s="26">
        <v>0.77272727272727271</v>
      </c>
      <c r="D69" s="26">
        <v>0.8</v>
      </c>
      <c r="E69" s="27">
        <v>2.1038682984694617E-2</v>
      </c>
      <c r="F69" s="26">
        <v>0.53125531857065578</v>
      </c>
      <c r="G69" s="10" t="str">
        <f t="shared" ref="G69:G132" si="1">IF(F69&lt;0.25, "Bad", IF(F69&lt;=0.75, "Intermediate", "Excellent"))</f>
        <v>Intermediate</v>
      </c>
    </row>
    <row r="70" spans="1:7" x14ac:dyDescent="0.3">
      <c r="A70" s="54"/>
      <c r="B70" s="21">
        <v>2</v>
      </c>
      <c r="C70" s="21">
        <v>0.63636363636363635</v>
      </c>
      <c r="D70" s="21">
        <v>0.8</v>
      </c>
      <c r="E70" s="28">
        <v>8.4127884653956118E-3</v>
      </c>
      <c r="F70" s="21">
        <v>0.48159214160967734</v>
      </c>
      <c r="G70" s="11" t="str">
        <f t="shared" si="1"/>
        <v>Intermediate</v>
      </c>
    </row>
    <row r="71" spans="1:7" x14ac:dyDescent="0.3">
      <c r="A71" s="54"/>
      <c r="B71" s="21">
        <v>3</v>
      </c>
      <c r="C71" s="21">
        <v>0.54545454545454541</v>
      </c>
      <c r="D71" s="21">
        <v>0.4</v>
      </c>
      <c r="E71" s="28">
        <v>4.4283704378051784E-2</v>
      </c>
      <c r="F71" s="21">
        <v>0.32991274994419906</v>
      </c>
      <c r="G71" s="11" t="str">
        <f t="shared" si="1"/>
        <v>Intermediate</v>
      </c>
    </row>
    <row r="72" spans="1:7" x14ac:dyDescent="0.3">
      <c r="A72" s="54"/>
      <c r="B72" s="21">
        <v>4</v>
      </c>
      <c r="C72" s="21">
        <v>0.63636363636363635</v>
      </c>
      <c r="D72" s="21">
        <v>0.4</v>
      </c>
      <c r="E72" s="28">
        <v>3.0463850107978221E-2</v>
      </c>
      <c r="F72" s="21">
        <v>0.35560916215720484</v>
      </c>
      <c r="G72" s="11" t="str">
        <f t="shared" si="1"/>
        <v>Intermediate</v>
      </c>
    </row>
    <row r="73" spans="1:7" x14ac:dyDescent="0.3">
      <c r="A73" s="54"/>
      <c r="B73" s="21">
        <v>5</v>
      </c>
      <c r="C73" s="21">
        <v>0.81818181818181812</v>
      </c>
      <c r="D73" s="21">
        <v>0.8</v>
      </c>
      <c r="E73" s="28">
        <v>1.1352459616595638E-2</v>
      </c>
      <c r="F73" s="21">
        <v>0.54317809259947125</v>
      </c>
      <c r="G73" s="11" t="str">
        <f t="shared" si="1"/>
        <v>Intermediate</v>
      </c>
    </row>
    <row r="74" spans="1:7" x14ac:dyDescent="0.3">
      <c r="A74" s="54"/>
      <c r="B74" s="21">
        <v>6</v>
      </c>
      <c r="C74" s="21">
        <v>0.72727272727272718</v>
      </c>
      <c r="D74" s="21">
        <v>0.8</v>
      </c>
      <c r="E74" s="28">
        <v>1.8302758706080179E-2</v>
      </c>
      <c r="F74" s="21">
        <v>0.51519182865960245</v>
      </c>
      <c r="G74" s="11" t="str">
        <f t="shared" si="1"/>
        <v>Intermediate</v>
      </c>
    </row>
    <row r="75" spans="1:7" x14ac:dyDescent="0.3">
      <c r="A75" s="54"/>
      <c r="B75" s="21">
        <v>7</v>
      </c>
      <c r="C75" s="21">
        <v>0.74999999999999989</v>
      </c>
      <c r="D75" s="21">
        <v>0.6</v>
      </c>
      <c r="E75" s="28">
        <v>2.6887404355094933E-2</v>
      </c>
      <c r="F75" s="21">
        <v>0.45896246811836489</v>
      </c>
      <c r="G75" s="11" t="str">
        <f t="shared" si="1"/>
        <v>Intermediate</v>
      </c>
    </row>
    <row r="76" spans="1:7" x14ac:dyDescent="0.3">
      <c r="A76" s="54"/>
      <c r="B76" s="21">
        <v>8</v>
      </c>
      <c r="C76" s="21">
        <v>0.72727272727272718</v>
      </c>
      <c r="D76" s="21">
        <v>0.6</v>
      </c>
      <c r="E76" s="28">
        <v>2.0756786494060205E-2</v>
      </c>
      <c r="F76" s="21">
        <v>0.44934317125559575</v>
      </c>
      <c r="G76" s="11" t="str">
        <f t="shared" si="1"/>
        <v>Intermediate</v>
      </c>
    </row>
    <row r="77" spans="1:7" x14ac:dyDescent="0.3">
      <c r="A77" s="54"/>
      <c r="B77" s="21">
        <v>9</v>
      </c>
      <c r="C77" s="21">
        <v>0.43181818181818182</v>
      </c>
      <c r="D77" s="21">
        <v>0.8</v>
      </c>
      <c r="E77" s="28">
        <v>2.4040502717496644E-2</v>
      </c>
      <c r="F77" s="21">
        <v>0.41861956151189283</v>
      </c>
      <c r="G77" s="11" t="str">
        <f t="shared" si="1"/>
        <v>Intermediate</v>
      </c>
    </row>
    <row r="78" spans="1:7" x14ac:dyDescent="0.3">
      <c r="A78" s="54"/>
      <c r="B78" s="21">
        <v>10</v>
      </c>
      <c r="C78" s="21">
        <v>0.68181818181818177</v>
      </c>
      <c r="D78" s="21">
        <v>0.6</v>
      </c>
      <c r="E78" s="28">
        <v>1.858588521301056E-2</v>
      </c>
      <c r="F78" s="29">
        <v>0.43346802234373072</v>
      </c>
      <c r="G78" s="12" t="str">
        <f t="shared" si="1"/>
        <v>Intermediate</v>
      </c>
    </row>
    <row r="79" spans="1:7" x14ac:dyDescent="0.3">
      <c r="A79" s="53" t="s">
        <v>13</v>
      </c>
      <c r="B79" s="26">
        <v>1</v>
      </c>
      <c r="C79" s="26">
        <v>0.84090909090909072</v>
      </c>
      <c r="D79" s="26">
        <v>0.8</v>
      </c>
      <c r="E79" s="27">
        <v>2.1038682984694617E-2</v>
      </c>
      <c r="F79" s="26">
        <v>0.55398259129792837</v>
      </c>
      <c r="G79" s="10" t="str">
        <f t="shared" si="1"/>
        <v>Intermediate</v>
      </c>
    </row>
    <row r="80" spans="1:7" x14ac:dyDescent="0.3">
      <c r="A80" s="54"/>
      <c r="B80" s="21">
        <v>2</v>
      </c>
      <c r="C80" s="21">
        <v>0.65909090909090895</v>
      </c>
      <c r="D80" s="21">
        <v>0.8</v>
      </c>
      <c r="E80" s="28">
        <v>8.4127884653956118E-3</v>
      </c>
      <c r="F80" s="21">
        <v>0.4891678991854348</v>
      </c>
      <c r="G80" s="11" t="str">
        <f t="shared" si="1"/>
        <v>Intermediate</v>
      </c>
    </row>
    <row r="81" spans="1:7" x14ac:dyDescent="0.3">
      <c r="A81" s="54"/>
      <c r="B81" s="21">
        <v>3</v>
      </c>
      <c r="C81" s="21">
        <v>0.65909090909090895</v>
      </c>
      <c r="D81" s="21">
        <v>0.6</v>
      </c>
      <c r="E81" s="28">
        <v>9.3505257709753844E-3</v>
      </c>
      <c r="F81" s="21">
        <v>0.42281381162062803</v>
      </c>
      <c r="G81" s="11" t="str">
        <f t="shared" si="1"/>
        <v>Intermediate</v>
      </c>
    </row>
    <row r="82" spans="1:7" x14ac:dyDescent="0.3">
      <c r="A82" s="54"/>
      <c r="B82" s="21">
        <v>4</v>
      </c>
      <c r="C82" s="21">
        <v>0.56818181818181812</v>
      </c>
      <c r="D82" s="21">
        <v>0.8</v>
      </c>
      <c r="E82" s="28">
        <v>2.4495009406041435E-2</v>
      </c>
      <c r="F82" s="21">
        <v>0.46422560919595318</v>
      </c>
      <c r="G82" s="11" t="str">
        <f t="shared" si="1"/>
        <v>Intermediate</v>
      </c>
    </row>
    <row r="83" spans="1:7" x14ac:dyDescent="0.3">
      <c r="A83" s="54"/>
      <c r="B83" s="21">
        <v>5</v>
      </c>
      <c r="C83" s="21">
        <v>0.54545454545454541</v>
      </c>
      <c r="D83" s="21">
        <v>0.8</v>
      </c>
      <c r="E83" s="28">
        <v>1.059180176617899E-2</v>
      </c>
      <c r="F83" s="21">
        <v>0.45201544907357483</v>
      </c>
      <c r="G83" s="11" t="str">
        <f t="shared" si="1"/>
        <v>Intermediate</v>
      </c>
    </row>
    <row r="84" spans="1:7" x14ac:dyDescent="0.3">
      <c r="A84" s="54"/>
      <c r="B84" s="21">
        <v>6</v>
      </c>
      <c r="C84" s="21">
        <v>0.74999999999999989</v>
      </c>
      <c r="D84" s="21">
        <v>0.8</v>
      </c>
      <c r="E84" s="28">
        <v>1.1352459616595638E-2</v>
      </c>
      <c r="F84" s="21">
        <v>0.52045081987219843</v>
      </c>
      <c r="G84" s="11" t="str">
        <f t="shared" si="1"/>
        <v>Intermediate</v>
      </c>
    </row>
    <row r="85" spans="1:7" x14ac:dyDescent="0.3">
      <c r="A85" s="54"/>
      <c r="B85" s="21">
        <v>7</v>
      </c>
      <c r="C85" s="21">
        <v>0.5</v>
      </c>
      <c r="D85" s="21">
        <v>0.8</v>
      </c>
      <c r="E85" s="28">
        <v>1.8302758706080179E-2</v>
      </c>
      <c r="F85" s="21">
        <v>0.43943425290202676</v>
      </c>
      <c r="G85" s="11" t="str">
        <f t="shared" si="1"/>
        <v>Intermediate</v>
      </c>
    </row>
    <row r="86" spans="1:7" x14ac:dyDescent="0.3">
      <c r="A86" s="54"/>
      <c r="B86" s="21">
        <v>8</v>
      </c>
      <c r="C86" s="21">
        <v>0.70454545454545447</v>
      </c>
      <c r="D86" s="21">
        <v>0.8</v>
      </c>
      <c r="E86" s="28">
        <v>1.64075263528436E-2</v>
      </c>
      <c r="F86" s="21">
        <v>0.5069843269660993</v>
      </c>
      <c r="G86" s="11" t="str">
        <f t="shared" si="1"/>
        <v>Intermediate</v>
      </c>
    </row>
    <row r="87" spans="1:7" x14ac:dyDescent="0.3">
      <c r="A87" s="54"/>
      <c r="B87" s="21">
        <v>9</v>
      </c>
      <c r="C87" s="21">
        <v>0.81818181818181812</v>
      </c>
      <c r="D87" s="21">
        <v>0.6</v>
      </c>
      <c r="E87" s="28">
        <v>2.4412811387900357E-2</v>
      </c>
      <c r="F87" s="21">
        <v>0.48086487652323939</v>
      </c>
      <c r="G87" s="11" t="str">
        <f t="shared" si="1"/>
        <v>Intermediate</v>
      </c>
    </row>
    <row r="88" spans="1:7" x14ac:dyDescent="0.3">
      <c r="A88" s="54"/>
      <c r="B88" s="21">
        <v>10</v>
      </c>
      <c r="C88" s="21">
        <v>0.5</v>
      </c>
      <c r="D88" s="21">
        <v>0.4</v>
      </c>
      <c r="E88" s="28">
        <v>2.1890630094413575E-2</v>
      </c>
      <c r="F88" s="21">
        <v>0.30729687669813788</v>
      </c>
      <c r="G88" s="11" t="str">
        <f t="shared" si="1"/>
        <v>Intermediate</v>
      </c>
    </row>
    <row r="89" spans="1:7" x14ac:dyDescent="0.3">
      <c r="A89" s="54"/>
      <c r="B89" s="21">
        <v>11</v>
      </c>
      <c r="C89" s="21">
        <v>0.63636363636363635</v>
      </c>
      <c r="D89" s="21">
        <v>0.6</v>
      </c>
      <c r="E89" s="28">
        <v>1.415235442776832E-2</v>
      </c>
      <c r="F89" s="21">
        <v>0.4168386635971349</v>
      </c>
      <c r="G89" s="11" t="str">
        <f t="shared" si="1"/>
        <v>Intermediate</v>
      </c>
    </row>
    <row r="90" spans="1:7" x14ac:dyDescent="0.3">
      <c r="A90" s="54"/>
      <c r="B90" s="21">
        <v>12</v>
      </c>
      <c r="C90" s="21">
        <v>0.22727272727272724</v>
      </c>
      <c r="D90" s="21">
        <v>1</v>
      </c>
      <c r="E90" s="28">
        <v>2.4040502717496644E-2</v>
      </c>
      <c r="F90" s="21">
        <v>0.41710440999674125</v>
      </c>
      <c r="G90" s="11" t="str">
        <f t="shared" si="1"/>
        <v>Intermediate</v>
      </c>
    </row>
    <row r="91" spans="1:7" x14ac:dyDescent="0.3">
      <c r="A91" s="54"/>
      <c r="B91" s="21">
        <v>13</v>
      </c>
      <c r="C91" s="21">
        <v>0.93181818181818188</v>
      </c>
      <c r="D91" s="21">
        <v>0.6</v>
      </c>
      <c r="E91" s="28">
        <v>8.6244689803408655E-3</v>
      </c>
      <c r="F91" s="21">
        <v>0.5134808835995075</v>
      </c>
      <c r="G91" s="11" t="str">
        <f t="shared" si="1"/>
        <v>Intermediate</v>
      </c>
    </row>
    <row r="92" spans="1:7" x14ac:dyDescent="0.3">
      <c r="A92" s="54"/>
      <c r="B92" s="21">
        <v>14</v>
      </c>
      <c r="C92" s="21">
        <v>0.68181818181818177</v>
      </c>
      <c r="D92" s="21">
        <v>0.6</v>
      </c>
      <c r="E92" s="28">
        <v>1.858588521301056E-2</v>
      </c>
      <c r="F92" s="21">
        <v>0.43346802234373072</v>
      </c>
      <c r="G92" s="11" t="str">
        <f t="shared" si="1"/>
        <v>Intermediate</v>
      </c>
    </row>
    <row r="93" spans="1:7" x14ac:dyDescent="0.3">
      <c r="A93" s="54"/>
      <c r="B93" s="21">
        <v>15</v>
      </c>
      <c r="C93" s="21">
        <v>0.72727272727272718</v>
      </c>
      <c r="D93" s="21">
        <v>0.6</v>
      </c>
      <c r="E93" s="28">
        <v>9.7651245551601418E-3</v>
      </c>
      <c r="F93" s="29">
        <v>0.44567928394262912</v>
      </c>
      <c r="G93" s="12" t="str">
        <f t="shared" si="1"/>
        <v>Intermediate</v>
      </c>
    </row>
    <row r="94" spans="1:7" x14ac:dyDescent="0.3">
      <c r="A94" s="53" t="s">
        <v>16</v>
      </c>
      <c r="B94" s="26">
        <v>1</v>
      </c>
      <c r="C94" s="26">
        <v>0.15909090909090906</v>
      </c>
      <c r="D94" s="26">
        <v>0.6</v>
      </c>
      <c r="E94" s="27">
        <v>8.0942032423882954E-2</v>
      </c>
      <c r="F94" s="26">
        <v>0.28001098050493067</v>
      </c>
      <c r="G94" s="10" t="str">
        <f t="shared" si="1"/>
        <v>Intermediate</v>
      </c>
    </row>
    <row r="95" spans="1:7" x14ac:dyDescent="0.3">
      <c r="A95" s="54"/>
      <c r="B95" s="21">
        <v>2</v>
      </c>
      <c r="C95" s="21">
        <v>0.34090909090909088</v>
      </c>
      <c r="D95" s="21">
        <v>0.6</v>
      </c>
      <c r="E95" s="28">
        <v>5.0706313430868587E-2</v>
      </c>
      <c r="F95" s="21">
        <v>0.33053846811331983</v>
      </c>
      <c r="G95" s="11" t="str">
        <f t="shared" si="1"/>
        <v>Intermediate</v>
      </c>
    </row>
    <row r="96" spans="1:7" x14ac:dyDescent="0.3">
      <c r="A96" s="54"/>
      <c r="B96" s="21">
        <v>3</v>
      </c>
      <c r="C96" s="21">
        <v>0.45454545454545447</v>
      </c>
      <c r="D96" s="21">
        <v>0.6</v>
      </c>
      <c r="E96" s="28">
        <v>2.516198761038619E-2</v>
      </c>
      <c r="F96" s="21">
        <v>0.35990248071861353</v>
      </c>
      <c r="G96" s="11" t="str">
        <f t="shared" si="1"/>
        <v>Intermediate</v>
      </c>
    </row>
    <row r="97" spans="1:7" x14ac:dyDescent="0.3">
      <c r="A97" s="54"/>
      <c r="B97" s="21">
        <v>4</v>
      </c>
      <c r="C97" s="21">
        <v>0</v>
      </c>
      <c r="D97" s="21">
        <v>0.8</v>
      </c>
      <c r="E97" s="28">
        <v>3.1687335993385815E-2</v>
      </c>
      <c r="F97" s="21">
        <v>0.27722911199779526</v>
      </c>
      <c r="G97" s="11" t="str">
        <f t="shared" si="1"/>
        <v>Intermediate</v>
      </c>
    </row>
    <row r="98" spans="1:7" x14ac:dyDescent="0.3">
      <c r="A98" s="54"/>
      <c r="B98" s="21">
        <v>5</v>
      </c>
      <c r="C98" s="21">
        <v>0.43181818181818182</v>
      </c>
      <c r="D98" s="21">
        <v>0.2</v>
      </c>
      <c r="E98" s="28">
        <v>1.085013839462238E-2</v>
      </c>
      <c r="F98" s="29">
        <v>0.21422277340426804</v>
      </c>
      <c r="G98" s="14" t="str">
        <f t="shared" si="1"/>
        <v>Bad</v>
      </c>
    </row>
    <row r="99" spans="1:7" x14ac:dyDescent="0.3">
      <c r="A99" s="53" t="s">
        <v>17</v>
      </c>
      <c r="B99" s="26">
        <v>1</v>
      </c>
      <c r="C99" s="26">
        <v>0.40909090909090906</v>
      </c>
      <c r="D99" s="26">
        <v>0.8</v>
      </c>
      <c r="E99" s="27">
        <v>5.1631693050272029E-2</v>
      </c>
      <c r="F99" s="26">
        <v>0.42024086738039368</v>
      </c>
      <c r="G99" s="10" t="str">
        <f t="shared" si="1"/>
        <v>Intermediate</v>
      </c>
    </row>
    <row r="100" spans="1:7" x14ac:dyDescent="0.3">
      <c r="A100" s="54"/>
      <c r="B100" s="21">
        <v>2</v>
      </c>
      <c r="C100" s="21">
        <v>0.59090909090909083</v>
      </c>
      <c r="D100" s="21">
        <v>0.6</v>
      </c>
      <c r="E100" s="28">
        <v>5.0706313430868587E-2</v>
      </c>
      <c r="F100" s="21">
        <v>0.41387180144665314</v>
      </c>
      <c r="G100" s="11" t="str">
        <f t="shared" si="1"/>
        <v>Intermediate</v>
      </c>
    </row>
    <row r="101" spans="1:7" x14ac:dyDescent="0.3">
      <c r="A101" s="54"/>
      <c r="B101" s="21">
        <v>3</v>
      </c>
      <c r="C101" s="21">
        <v>0.47727272727272724</v>
      </c>
      <c r="D101" s="21">
        <v>0.6</v>
      </c>
      <c r="E101" s="28">
        <v>2.516198761038619E-2</v>
      </c>
      <c r="F101" s="21">
        <v>0.3674782382943711</v>
      </c>
      <c r="G101" s="11" t="str">
        <f t="shared" si="1"/>
        <v>Intermediate</v>
      </c>
    </row>
    <row r="102" spans="1:7" x14ac:dyDescent="0.3">
      <c r="A102" s="54"/>
      <c r="B102" s="21">
        <v>4</v>
      </c>
      <c r="C102" s="21">
        <v>0.13636363636363635</v>
      </c>
      <c r="D102" s="21">
        <v>0.4</v>
      </c>
      <c r="E102" s="28">
        <v>2.0453134445035291E-2</v>
      </c>
      <c r="F102" s="21">
        <v>0.1856055902695572</v>
      </c>
      <c r="G102" s="13" t="str">
        <f t="shared" si="1"/>
        <v>Bad</v>
      </c>
    </row>
    <row r="103" spans="1:7" x14ac:dyDescent="0.3">
      <c r="A103" s="54"/>
      <c r="B103" s="21">
        <v>5</v>
      </c>
      <c r="C103" s="21">
        <v>0.59090909090909083</v>
      </c>
      <c r="D103" s="21">
        <v>0.6</v>
      </c>
      <c r="E103" s="28">
        <v>1.5704147676427128E-2</v>
      </c>
      <c r="F103" s="21">
        <v>0.40220441286183928</v>
      </c>
      <c r="G103" s="11" t="str">
        <f t="shared" si="1"/>
        <v>Intermediate</v>
      </c>
    </row>
    <row r="104" spans="1:7" x14ac:dyDescent="0.3">
      <c r="A104" s="54"/>
      <c r="B104" s="21">
        <v>6</v>
      </c>
      <c r="C104" s="21">
        <v>0.34090909090909088</v>
      </c>
      <c r="D104" s="21">
        <v>0.8</v>
      </c>
      <c r="E104" s="28">
        <v>2.3972314316323809E-2</v>
      </c>
      <c r="F104" s="21">
        <v>0.38829380174180483</v>
      </c>
      <c r="G104" s="11" t="str">
        <f t="shared" si="1"/>
        <v>Intermediate</v>
      </c>
    </row>
    <row r="105" spans="1:7" x14ac:dyDescent="0.3">
      <c r="A105" s="54"/>
      <c r="B105" s="21">
        <v>7</v>
      </c>
      <c r="C105" s="21">
        <v>0.63636363636363635</v>
      </c>
      <c r="D105" s="21">
        <v>0.6</v>
      </c>
      <c r="E105" s="28">
        <v>1.4725187821273231E-2</v>
      </c>
      <c r="F105" s="21">
        <v>0.41702960806163653</v>
      </c>
      <c r="G105" s="11" t="str">
        <f t="shared" si="1"/>
        <v>Intermediate</v>
      </c>
    </row>
    <row r="106" spans="1:7" x14ac:dyDescent="0.3">
      <c r="A106" s="54"/>
      <c r="B106" s="21">
        <v>8</v>
      </c>
      <c r="C106" s="21">
        <v>0.59090909090909083</v>
      </c>
      <c r="D106" s="21">
        <v>0.8</v>
      </c>
      <c r="E106" s="28">
        <v>8.7834453670752599E-3</v>
      </c>
      <c r="F106" s="21">
        <v>0.46656417875872203</v>
      </c>
      <c r="G106" s="11" t="str">
        <f t="shared" si="1"/>
        <v>Intermediate</v>
      </c>
    </row>
    <row r="107" spans="1:7" x14ac:dyDescent="0.3">
      <c r="A107" s="54"/>
      <c r="B107" s="21">
        <v>9</v>
      </c>
      <c r="C107" s="21">
        <v>0.40909090909090906</v>
      </c>
      <c r="D107" s="21">
        <v>0.8</v>
      </c>
      <c r="E107" s="28">
        <v>9.0417819955186506E-3</v>
      </c>
      <c r="F107" s="21">
        <v>0.40604423036214254</v>
      </c>
      <c r="G107" s="11" t="str">
        <f t="shared" si="1"/>
        <v>Intermediate</v>
      </c>
    </row>
    <row r="108" spans="1:7" x14ac:dyDescent="0.3">
      <c r="A108" s="54"/>
      <c r="B108" s="21">
        <v>10</v>
      </c>
      <c r="C108" s="21">
        <v>0.5227272727272726</v>
      </c>
      <c r="D108" s="21">
        <v>0.4</v>
      </c>
      <c r="E108" s="28">
        <v>1.085013839462238E-2</v>
      </c>
      <c r="F108" s="29">
        <v>0.31119247037396497</v>
      </c>
      <c r="G108" s="12" t="str">
        <f t="shared" si="1"/>
        <v>Intermediate</v>
      </c>
    </row>
    <row r="109" spans="1:7" x14ac:dyDescent="0.3">
      <c r="A109" s="53" t="s">
        <v>18</v>
      </c>
      <c r="B109" s="26">
        <v>1</v>
      </c>
      <c r="C109" s="26">
        <v>0.45454545454545447</v>
      </c>
      <c r="D109" s="26">
        <v>0.6</v>
      </c>
      <c r="E109" s="27">
        <v>5.1631693050272029E-2</v>
      </c>
      <c r="F109" s="26">
        <v>0.36872571586524217</v>
      </c>
      <c r="G109" s="10" t="str">
        <f t="shared" si="1"/>
        <v>Intermediate</v>
      </c>
    </row>
    <row r="110" spans="1:7" x14ac:dyDescent="0.3">
      <c r="A110" s="54"/>
      <c r="B110" s="21">
        <v>2</v>
      </c>
      <c r="C110" s="21">
        <v>0.45454545454545447</v>
      </c>
      <c r="D110" s="21">
        <v>0.6</v>
      </c>
      <c r="E110" s="28">
        <v>5.0633979174904441E-2</v>
      </c>
      <c r="F110" s="21">
        <v>0.36839314457345296</v>
      </c>
      <c r="G110" s="11" t="str">
        <f t="shared" si="1"/>
        <v>Intermediate</v>
      </c>
    </row>
    <row r="111" spans="1:7" x14ac:dyDescent="0.3">
      <c r="A111" s="54"/>
      <c r="B111" s="21">
        <v>3</v>
      </c>
      <c r="C111" s="21">
        <v>0.56818181818181812</v>
      </c>
      <c r="D111" s="21">
        <v>0.8</v>
      </c>
      <c r="E111" s="28">
        <v>1.3803787179825141E-2</v>
      </c>
      <c r="F111" s="21">
        <v>0.46066186845388107</v>
      </c>
      <c r="G111" s="11" t="str">
        <f t="shared" si="1"/>
        <v>Intermediate</v>
      </c>
    </row>
    <row r="112" spans="1:7" x14ac:dyDescent="0.3">
      <c r="A112" s="54"/>
      <c r="B112" s="21">
        <v>4</v>
      </c>
      <c r="C112" s="21">
        <v>0.88636363636363624</v>
      </c>
      <c r="D112" s="21">
        <v>0.8</v>
      </c>
      <c r="E112" s="28">
        <v>1.085013839462238E-2</v>
      </c>
      <c r="F112" s="21">
        <v>0.56573792491941954</v>
      </c>
      <c r="G112" s="11" t="str">
        <f t="shared" si="1"/>
        <v>Intermediate</v>
      </c>
    </row>
    <row r="113" spans="1:7" x14ac:dyDescent="0.3">
      <c r="A113" s="54"/>
      <c r="B113" s="21">
        <v>5</v>
      </c>
      <c r="C113" s="21">
        <v>0.93181818181818188</v>
      </c>
      <c r="D113" s="21">
        <v>0.8</v>
      </c>
      <c r="E113" s="28">
        <v>1.3411976626685999E-2</v>
      </c>
      <c r="F113" s="21">
        <v>0.58174338614828924</v>
      </c>
      <c r="G113" s="11" t="str">
        <f t="shared" si="1"/>
        <v>Intermediate</v>
      </c>
    </row>
    <row r="114" spans="1:7" x14ac:dyDescent="0.3">
      <c r="A114" s="54"/>
      <c r="B114" s="21">
        <v>6</v>
      </c>
      <c r="C114" s="21">
        <v>0.93181818181818188</v>
      </c>
      <c r="D114" s="21">
        <v>0.8</v>
      </c>
      <c r="E114" s="28">
        <v>1.5704147676427128E-2</v>
      </c>
      <c r="F114" s="21">
        <v>0.58250744316486958</v>
      </c>
      <c r="G114" s="11" t="str">
        <f t="shared" si="1"/>
        <v>Intermediate</v>
      </c>
    </row>
    <row r="115" spans="1:7" x14ac:dyDescent="0.3">
      <c r="A115" s="54"/>
      <c r="B115" s="21">
        <v>7</v>
      </c>
      <c r="C115" s="21">
        <v>0.54545454545454541</v>
      </c>
      <c r="D115" s="21">
        <v>0.8</v>
      </c>
      <c r="E115" s="28">
        <v>2.3972314316323809E-2</v>
      </c>
      <c r="F115" s="21">
        <v>0.45647561992362307</v>
      </c>
      <c r="G115" s="11" t="str">
        <f t="shared" si="1"/>
        <v>Intermediate</v>
      </c>
    </row>
    <row r="116" spans="1:7" x14ac:dyDescent="0.3">
      <c r="A116" s="54"/>
      <c r="B116" s="21">
        <v>8</v>
      </c>
      <c r="C116" s="21">
        <v>0.84090909090909072</v>
      </c>
      <c r="D116" s="21">
        <v>0.8</v>
      </c>
      <c r="E116" s="28">
        <v>1.2457566304936808E-2</v>
      </c>
      <c r="F116" s="21">
        <v>0.55112221907134251</v>
      </c>
      <c r="G116" s="11" t="str">
        <f t="shared" si="1"/>
        <v>Intermediate</v>
      </c>
    </row>
    <row r="117" spans="1:7" x14ac:dyDescent="0.3">
      <c r="A117" s="54"/>
      <c r="B117" s="21">
        <v>9</v>
      </c>
      <c r="C117" s="21">
        <v>0.72727272727272718</v>
      </c>
      <c r="D117" s="21">
        <v>0.8</v>
      </c>
      <c r="E117" s="28">
        <v>1.0247352928254471E-2</v>
      </c>
      <c r="F117" s="21">
        <v>0.51250669340032728</v>
      </c>
      <c r="G117" s="11" t="str">
        <f t="shared" si="1"/>
        <v>Intermediate</v>
      </c>
    </row>
    <row r="118" spans="1:7" x14ac:dyDescent="0.3">
      <c r="A118" s="54"/>
      <c r="B118" s="21">
        <v>10</v>
      </c>
      <c r="C118" s="21">
        <v>0.72727272727272718</v>
      </c>
      <c r="D118" s="21">
        <v>0.6</v>
      </c>
      <c r="E118" s="28">
        <v>1.0333465137735599E-2</v>
      </c>
      <c r="F118" s="21">
        <v>0.44586873080348755</v>
      </c>
      <c r="G118" s="11" t="str">
        <f t="shared" si="1"/>
        <v>Intermediate</v>
      </c>
    </row>
    <row r="119" spans="1:7" x14ac:dyDescent="0.3">
      <c r="A119" s="54"/>
      <c r="B119" s="21">
        <v>11</v>
      </c>
      <c r="C119" s="21">
        <v>0.86363636363636365</v>
      </c>
      <c r="D119" s="21">
        <v>0.8</v>
      </c>
      <c r="E119" s="28">
        <v>1.4725187821273231E-2</v>
      </c>
      <c r="F119" s="21">
        <v>0.55945385048587892</v>
      </c>
      <c r="G119" s="11" t="str">
        <f t="shared" si="1"/>
        <v>Intermediate</v>
      </c>
    </row>
    <row r="120" spans="1:7" x14ac:dyDescent="0.3">
      <c r="A120" s="54"/>
      <c r="B120" s="21">
        <v>12</v>
      </c>
      <c r="C120" s="21">
        <v>0.59090909090909083</v>
      </c>
      <c r="D120" s="21">
        <v>0.8</v>
      </c>
      <c r="E120" s="28">
        <v>8.7834453670752599E-3</v>
      </c>
      <c r="F120" s="21">
        <v>0.46656417875872203</v>
      </c>
      <c r="G120" s="11" t="str">
        <f t="shared" si="1"/>
        <v>Intermediate</v>
      </c>
    </row>
    <row r="121" spans="1:7" x14ac:dyDescent="0.3">
      <c r="A121" s="54"/>
      <c r="B121" s="21">
        <v>13</v>
      </c>
      <c r="C121" s="21">
        <v>0.63636363636363635</v>
      </c>
      <c r="D121" s="21">
        <v>0.8</v>
      </c>
      <c r="E121" s="28">
        <v>9.0417819955186506E-3</v>
      </c>
      <c r="F121" s="21">
        <v>0.48180180611971835</v>
      </c>
      <c r="G121" s="11" t="str">
        <f t="shared" si="1"/>
        <v>Intermediate</v>
      </c>
    </row>
    <row r="122" spans="1:7" x14ac:dyDescent="0.3">
      <c r="A122" s="54"/>
      <c r="B122" s="21">
        <v>14</v>
      </c>
      <c r="C122" s="21">
        <v>0.77272727272727271</v>
      </c>
      <c r="D122" s="21">
        <v>0.6</v>
      </c>
      <c r="E122" s="28">
        <v>1.085013839462238E-2</v>
      </c>
      <c r="F122" s="21">
        <v>0.46119247037396499</v>
      </c>
      <c r="G122" s="11" t="str">
        <f t="shared" si="1"/>
        <v>Intermediate</v>
      </c>
    </row>
    <row r="123" spans="1:7" x14ac:dyDescent="0.3">
      <c r="A123" s="54"/>
      <c r="B123" s="21">
        <v>15</v>
      </c>
      <c r="C123" s="21">
        <v>0.97727272727272707</v>
      </c>
      <c r="D123" s="21">
        <v>0.4</v>
      </c>
      <c r="E123" s="28">
        <v>0</v>
      </c>
      <c r="F123" s="29">
        <v>0.45909090909090899</v>
      </c>
      <c r="G123" s="12" t="str">
        <f t="shared" si="1"/>
        <v>Intermediate</v>
      </c>
    </row>
    <row r="124" spans="1:7" x14ac:dyDescent="0.3">
      <c r="A124" s="53" t="s">
        <v>19</v>
      </c>
      <c r="B124" s="26">
        <v>1</v>
      </c>
      <c r="C124" s="26">
        <v>0.20454545454545453</v>
      </c>
      <c r="D124" s="26">
        <v>0.4</v>
      </c>
      <c r="E124" s="27">
        <v>2.3296428100698562E-2</v>
      </c>
      <c r="F124" s="26">
        <v>0.20928062754871768</v>
      </c>
      <c r="G124" s="15" t="str">
        <f t="shared" si="1"/>
        <v>Bad</v>
      </c>
    </row>
    <row r="125" spans="1:7" x14ac:dyDescent="0.3">
      <c r="A125" s="54"/>
      <c r="B125" s="21">
        <v>2</v>
      </c>
      <c r="C125" s="21">
        <v>0.36363636363636365</v>
      </c>
      <c r="D125" s="21">
        <v>0.6</v>
      </c>
      <c r="E125" s="28">
        <v>6.8166135572457542E-2</v>
      </c>
      <c r="F125" s="21">
        <v>0.34393416640294039</v>
      </c>
      <c r="G125" s="11" t="str">
        <f t="shared" si="1"/>
        <v>Intermediate</v>
      </c>
    </row>
    <row r="126" spans="1:7" x14ac:dyDescent="0.3">
      <c r="A126" s="54"/>
      <c r="B126" s="21">
        <v>3</v>
      </c>
      <c r="C126" s="21">
        <v>0.29545454545454547</v>
      </c>
      <c r="D126" s="21">
        <v>0.6</v>
      </c>
      <c r="E126" s="28">
        <v>2.6525635956240936E-2</v>
      </c>
      <c r="F126" s="21">
        <v>0.30732672713692877</v>
      </c>
      <c r="G126" s="11" t="str">
        <f t="shared" si="1"/>
        <v>Intermediate</v>
      </c>
    </row>
    <row r="127" spans="1:7" x14ac:dyDescent="0.3">
      <c r="A127" s="54"/>
      <c r="B127" s="21">
        <v>4</v>
      </c>
      <c r="C127" s="21">
        <v>0.31818181818181812</v>
      </c>
      <c r="D127" s="21">
        <v>0.8</v>
      </c>
      <c r="E127" s="28">
        <v>1.7462475929622873E-2</v>
      </c>
      <c r="F127" s="21">
        <v>0.37854809803714701</v>
      </c>
      <c r="G127" s="11" t="str">
        <f t="shared" si="1"/>
        <v>Intermediate</v>
      </c>
    </row>
    <row r="128" spans="1:7" x14ac:dyDescent="0.3">
      <c r="A128" s="54"/>
      <c r="B128" s="21">
        <v>5</v>
      </c>
      <c r="C128" s="21">
        <v>0.31818181818181812</v>
      </c>
      <c r="D128" s="21">
        <v>0.6</v>
      </c>
      <c r="E128" s="28">
        <v>4.2794365502020523E-2</v>
      </c>
      <c r="F128" s="29">
        <v>0.32032539456127951</v>
      </c>
      <c r="G128" s="12" t="str">
        <f t="shared" si="1"/>
        <v>Intermediate</v>
      </c>
    </row>
    <row r="129" spans="1:7" x14ac:dyDescent="0.3">
      <c r="A129" s="53" t="s">
        <v>20</v>
      </c>
      <c r="B129" s="26">
        <v>1</v>
      </c>
      <c r="C129" s="26">
        <v>0.77272727272727271</v>
      </c>
      <c r="D129" s="26">
        <v>0.8</v>
      </c>
      <c r="E129" s="27">
        <v>1.6465411483205076E-2</v>
      </c>
      <c r="F129" s="26">
        <v>0.52973089473682589</v>
      </c>
      <c r="G129" s="10" t="str">
        <f t="shared" si="1"/>
        <v>Intermediate</v>
      </c>
    </row>
    <row r="130" spans="1:7" x14ac:dyDescent="0.3">
      <c r="A130" s="54"/>
      <c r="B130" s="21">
        <v>2</v>
      </c>
      <c r="C130" s="21">
        <v>0.63636363636363635</v>
      </c>
      <c r="D130" s="21">
        <v>0.8</v>
      </c>
      <c r="E130" s="28">
        <v>1.3849382999499711E-2</v>
      </c>
      <c r="F130" s="21">
        <v>0.48340433978771202</v>
      </c>
      <c r="G130" s="11" t="str">
        <f t="shared" si="1"/>
        <v>Intermediate</v>
      </c>
    </row>
    <row r="131" spans="1:7" x14ac:dyDescent="0.3">
      <c r="A131" s="54"/>
      <c r="B131" s="21">
        <v>3</v>
      </c>
      <c r="C131" s="21">
        <v>0.45454545454545447</v>
      </c>
      <c r="D131" s="21">
        <v>0.6</v>
      </c>
      <c r="E131" s="28">
        <v>1.99288256227758E-2</v>
      </c>
      <c r="F131" s="21">
        <v>0.35815809338941007</v>
      </c>
      <c r="G131" s="11" t="str">
        <f t="shared" si="1"/>
        <v>Intermediate</v>
      </c>
    </row>
    <row r="132" spans="1:7" x14ac:dyDescent="0.3">
      <c r="A132" s="54"/>
      <c r="B132" s="21">
        <v>4</v>
      </c>
      <c r="C132" s="21">
        <v>0.43181818181818182</v>
      </c>
      <c r="D132" s="21">
        <v>0.6</v>
      </c>
      <c r="E132" s="28">
        <v>3.1738500065902196E-2</v>
      </c>
      <c r="F132" s="21">
        <v>0.35451889396136133</v>
      </c>
      <c r="G132" s="11" t="str">
        <f t="shared" si="1"/>
        <v>Intermediate</v>
      </c>
    </row>
    <row r="133" spans="1:7" x14ac:dyDescent="0.3">
      <c r="A133" s="54"/>
      <c r="B133" s="21">
        <v>5</v>
      </c>
      <c r="C133" s="21">
        <v>0.86363636363636365</v>
      </c>
      <c r="D133" s="21">
        <v>0.8</v>
      </c>
      <c r="E133" s="28">
        <v>1.3732179585030696E-2</v>
      </c>
      <c r="F133" s="21">
        <v>0.55912284774046472</v>
      </c>
      <c r="G133" s="11" t="str">
        <f t="shared" ref="G133:G183" si="2">IF(F133&lt;0.25, "Bad", IF(F133&lt;=0.75, "Intermediate", "Excellent"))</f>
        <v>Intermediate</v>
      </c>
    </row>
    <row r="134" spans="1:7" x14ac:dyDescent="0.3">
      <c r="A134" s="54"/>
      <c r="B134" s="21">
        <v>6</v>
      </c>
      <c r="C134" s="21">
        <v>0.5227272727272726</v>
      </c>
      <c r="D134" s="21">
        <v>0.6</v>
      </c>
      <c r="E134" s="28">
        <v>1.7033184292970769E-2</v>
      </c>
      <c r="F134" s="21">
        <v>0.37992015234008109</v>
      </c>
      <c r="G134" s="11" t="str">
        <f t="shared" si="2"/>
        <v>Intermediate</v>
      </c>
    </row>
    <row r="135" spans="1:7" x14ac:dyDescent="0.3">
      <c r="A135" s="54"/>
      <c r="B135" s="21">
        <v>7</v>
      </c>
      <c r="C135" s="21">
        <v>0.7954545454545453</v>
      </c>
      <c r="D135" s="21">
        <v>0.6</v>
      </c>
      <c r="E135" s="28">
        <v>8.4882035059970998E-3</v>
      </c>
      <c r="F135" s="21">
        <v>0.46798091632018074</v>
      </c>
      <c r="G135" s="11" t="str">
        <f t="shared" si="2"/>
        <v>Intermediate</v>
      </c>
    </row>
    <row r="136" spans="1:7" x14ac:dyDescent="0.3">
      <c r="A136" s="54"/>
      <c r="B136" s="21">
        <v>8</v>
      </c>
      <c r="C136" s="21">
        <v>0.45454545454545447</v>
      </c>
      <c r="D136" s="21">
        <v>0.8</v>
      </c>
      <c r="E136" s="28">
        <v>1.7462475929622873E-2</v>
      </c>
      <c r="F136" s="21">
        <v>0.42400264349169242</v>
      </c>
      <c r="G136" s="11" t="str">
        <f t="shared" si="2"/>
        <v>Intermediate</v>
      </c>
    </row>
    <row r="137" spans="1:7" x14ac:dyDescent="0.3">
      <c r="A137" s="54"/>
      <c r="B137" s="21">
        <v>9</v>
      </c>
      <c r="C137" s="21">
        <v>0.56818181818181812</v>
      </c>
      <c r="D137" s="21">
        <v>0.8</v>
      </c>
      <c r="E137" s="28">
        <v>2.8032272448112534E-2</v>
      </c>
      <c r="F137" s="21">
        <v>0.46540469687664354</v>
      </c>
      <c r="G137" s="11" t="str">
        <f t="shared" si="2"/>
        <v>Intermediate</v>
      </c>
    </row>
    <row r="138" spans="1:7" x14ac:dyDescent="0.3">
      <c r="A138" s="54"/>
      <c r="B138" s="21">
        <v>10</v>
      </c>
      <c r="C138" s="21">
        <v>0.5227272727272726</v>
      </c>
      <c r="D138" s="21">
        <v>0.2</v>
      </c>
      <c r="E138" s="28">
        <v>1.8258378250886213E-2</v>
      </c>
      <c r="F138" s="29">
        <v>0.24699521699271959</v>
      </c>
      <c r="G138" s="14" t="str">
        <f t="shared" si="2"/>
        <v>Bad</v>
      </c>
    </row>
    <row r="139" spans="1:7" x14ac:dyDescent="0.3">
      <c r="A139" s="53" t="s">
        <v>21</v>
      </c>
      <c r="B139" s="26">
        <v>1</v>
      </c>
      <c r="C139" s="26">
        <v>0.90909090909090895</v>
      </c>
      <c r="D139" s="26">
        <v>0.8</v>
      </c>
      <c r="E139" s="27">
        <v>1.6465411483205076E-2</v>
      </c>
      <c r="F139" s="26">
        <v>0.5751854401913713</v>
      </c>
      <c r="G139" s="10" t="str">
        <f t="shared" si="2"/>
        <v>Intermediate</v>
      </c>
    </row>
    <row r="140" spans="1:7" x14ac:dyDescent="0.3">
      <c r="A140" s="54"/>
      <c r="B140" s="21">
        <v>2</v>
      </c>
      <c r="C140" s="21">
        <v>0.61363636363636354</v>
      </c>
      <c r="D140" s="21">
        <v>0.8</v>
      </c>
      <c r="E140" s="28">
        <v>8.3875528715386376E-3</v>
      </c>
      <c r="F140" s="21">
        <v>0.47400797216930074</v>
      </c>
      <c r="G140" s="11" t="str">
        <f t="shared" si="2"/>
        <v>Intermediate</v>
      </c>
    </row>
    <row r="141" spans="1:7" x14ac:dyDescent="0.3">
      <c r="A141" s="54"/>
      <c r="B141" s="21">
        <v>3</v>
      </c>
      <c r="C141" s="21">
        <v>0.88636363636363624</v>
      </c>
      <c r="D141" s="21">
        <v>0.6</v>
      </c>
      <c r="E141" s="28">
        <v>1.1643341000265466E-2</v>
      </c>
      <c r="F141" s="21">
        <v>0.49933565912130057</v>
      </c>
      <c r="G141" s="11" t="str">
        <f t="shared" si="2"/>
        <v>Intermediate</v>
      </c>
    </row>
    <row r="142" spans="1:7" x14ac:dyDescent="0.3">
      <c r="A142" s="54"/>
      <c r="B142" s="21">
        <v>4</v>
      </c>
      <c r="C142" s="21">
        <v>0.5227272727272726</v>
      </c>
      <c r="D142" s="21">
        <v>0.6</v>
      </c>
      <c r="E142" s="28">
        <v>1.383946223803875E-2</v>
      </c>
      <c r="F142" s="21">
        <v>0.37885557832177041</v>
      </c>
      <c r="G142" s="11" t="str">
        <f t="shared" si="2"/>
        <v>Intermediate</v>
      </c>
    </row>
    <row r="143" spans="1:7" x14ac:dyDescent="0.3">
      <c r="A143" s="54"/>
      <c r="B143" s="21">
        <v>5</v>
      </c>
      <c r="C143" s="21">
        <v>0.77272727272727271</v>
      </c>
      <c r="D143" s="21">
        <v>0.6</v>
      </c>
      <c r="E143" s="28">
        <v>1.3732179585030696E-2</v>
      </c>
      <c r="F143" s="21">
        <v>0.46215315077076774</v>
      </c>
      <c r="G143" s="11" t="str">
        <f t="shared" si="2"/>
        <v>Intermediate</v>
      </c>
    </row>
    <row r="144" spans="1:7" x14ac:dyDescent="0.3">
      <c r="A144" s="54"/>
      <c r="B144" s="21">
        <v>6</v>
      </c>
      <c r="C144" s="21">
        <v>0.3863636363636363</v>
      </c>
      <c r="D144" s="21">
        <v>0.6</v>
      </c>
      <c r="E144" s="28">
        <v>1.8812667367480319E-2</v>
      </c>
      <c r="F144" s="21">
        <v>0.33505876791037215</v>
      </c>
      <c r="G144" s="11" t="str">
        <f t="shared" si="2"/>
        <v>Intermediate</v>
      </c>
    </row>
    <row r="145" spans="1:7" x14ac:dyDescent="0.3">
      <c r="A145" s="54"/>
      <c r="B145" s="21">
        <v>7</v>
      </c>
      <c r="C145" s="21">
        <v>0.72727272727272718</v>
      </c>
      <c r="D145" s="21">
        <v>0.8</v>
      </c>
      <c r="E145" s="28">
        <v>7.9277907141357771E-3</v>
      </c>
      <c r="F145" s="21">
        <v>0.51173350599562095</v>
      </c>
      <c r="G145" s="11" t="str">
        <f t="shared" si="2"/>
        <v>Intermediate</v>
      </c>
    </row>
    <row r="146" spans="1:7" x14ac:dyDescent="0.3">
      <c r="A146" s="54"/>
      <c r="B146" s="21">
        <v>8</v>
      </c>
      <c r="C146" s="21">
        <v>0.61363636363636354</v>
      </c>
      <c r="D146" s="21">
        <v>0.6</v>
      </c>
      <c r="E146" s="28">
        <v>8.4882035059970998E-3</v>
      </c>
      <c r="F146" s="21">
        <v>0.40737485571412013</v>
      </c>
      <c r="G146" s="11" t="str">
        <f t="shared" si="2"/>
        <v>Intermediate</v>
      </c>
    </row>
    <row r="147" spans="1:7" x14ac:dyDescent="0.3">
      <c r="A147" s="54"/>
      <c r="B147" s="21">
        <v>9</v>
      </c>
      <c r="C147" s="21">
        <v>0.47727272727272724</v>
      </c>
      <c r="D147" s="21">
        <v>0.6</v>
      </c>
      <c r="E147" s="28">
        <v>9.3613273024782465E-3</v>
      </c>
      <c r="F147" s="21">
        <v>0.36221135152506845</v>
      </c>
      <c r="G147" s="11" t="str">
        <f t="shared" si="2"/>
        <v>Intermediate</v>
      </c>
    </row>
    <row r="148" spans="1:7" x14ac:dyDescent="0.3">
      <c r="A148" s="54"/>
      <c r="B148" s="21">
        <v>10</v>
      </c>
      <c r="C148" s="21">
        <v>0.27272727272727271</v>
      </c>
      <c r="D148" s="21">
        <v>1</v>
      </c>
      <c r="E148" s="28">
        <v>1.7462475929622873E-2</v>
      </c>
      <c r="F148" s="21">
        <v>0.43006324955229852</v>
      </c>
      <c r="G148" s="11" t="str">
        <f t="shared" si="2"/>
        <v>Intermediate</v>
      </c>
    </row>
    <row r="149" spans="1:7" x14ac:dyDescent="0.3">
      <c r="A149" s="54"/>
      <c r="B149" s="21">
        <v>11</v>
      </c>
      <c r="C149" s="21">
        <v>0.61363636363636354</v>
      </c>
      <c r="D149" s="21">
        <v>0.6</v>
      </c>
      <c r="E149" s="28">
        <v>1.8594559519826422E-2</v>
      </c>
      <c r="F149" s="21">
        <v>0.41074364105206329</v>
      </c>
      <c r="G149" s="11" t="str">
        <f t="shared" si="2"/>
        <v>Intermediate</v>
      </c>
    </row>
    <row r="150" spans="1:7" x14ac:dyDescent="0.3">
      <c r="A150" s="54"/>
      <c r="B150" s="21">
        <v>12</v>
      </c>
      <c r="C150" s="21">
        <v>0.54545454545454541</v>
      </c>
      <c r="D150" s="21">
        <v>0.6</v>
      </c>
      <c r="E150" s="28">
        <v>1.3032160274153156E-2</v>
      </c>
      <c r="F150" s="21">
        <v>0.38616223524289955</v>
      </c>
      <c r="G150" s="11" t="str">
        <f t="shared" si="2"/>
        <v>Intermediate</v>
      </c>
    </row>
    <row r="151" spans="1:7" x14ac:dyDescent="0.3">
      <c r="A151" s="54"/>
      <c r="B151" s="21">
        <v>13</v>
      </c>
      <c r="C151" s="21">
        <v>0.3863636363636363</v>
      </c>
      <c r="D151" s="21">
        <v>0.4</v>
      </c>
      <c r="E151" s="28">
        <v>1.8258378250886213E-2</v>
      </c>
      <c r="F151" s="21">
        <v>0.26820733820484083</v>
      </c>
      <c r="G151" s="11" t="str">
        <f t="shared" si="2"/>
        <v>Intermediate</v>
      </c>
    </row>
    <row r="152" spans="1:7" x14ac:dyDescent="0.3">
      <c r="A152" s="54"/>
      <c r="B152" s="21">
        <v>14</v>
      </c>
      <c r="C152" s="21">
        <v>0.5227272727272726</v>
      </c>
      <c r="D152" s="21">
        <v>0.4</v>
      </c>
      <c r="E152" s="28">
        <v>6.4584157110847504E-3</v>
      </c>
      <c r="F152" s="21">
        <v>0.30972856281278577</v>
      </c>
      <c r="G152" s="11" t="str">
        <f t="shared" si="2"/>
        <v>Intermediate</v>
      </c>
    </row>
    <row r="153" spans="1:7" x14ac:dyDescent="0.3">
      <c r="A153" s="54"/>
      <c r="B153" s="21">
        <v>15</v>
      </c>
      <c r="C153" s="21">
        <v>0.68181818181818177</v>
      </c>
      <c r="D153" s="21">
        <v>0.4</v>
      </c>
      <c r="E153" s="28">
        <v>1.9682790738543999E-2</v>
      </c>
      <c r="F153" s="29">
        <v>0.36716699085224191</v>
      </c>
      <c r="G153" s="12" t="str">
        <f t="shared" si="2"/>
        <v>Intermediate</v>
      </c>
    </row>
    <row r="154" spans="1:7" x14ac:dyDescent="0.3">
      <c r="A154" s="53" t="s">
        <v>22</v>
      </c>
      <c r="B154" s="26">
        <v>1</v>
      </c>
      <c r="C154" s="26">
        <v>9.0909090909090884E-2</v>
      </c>
      <c r="D154" s="26">
        <v>0.6</v>
      </c>
      <c r="E154" s="27">
        <v>3.7007747169866594E-2</v>
      </c>
      <c r="F154" s="26">
        <v>0.24263894602631914</v>
      </c>
      <c r="G154" s="15" t="str">
        <f t="shared" si="2"/>
        <v>Bad</v>
      </c>
    </row>
    <row r="155" spans="1:7" x14ac:dyDescent="0.3">
      <c r="A155" s="54"/>
      <c r="B155" s="21">
        <v>2</v>
      </c>
      <c r="C155" s="21">
        <v>0.11363636363636365</v>
      </c>
      <c r="D155" s="21">
        <v>0.6</v>
      </c>
      <c r="E155" s="28">
        <v>0.20519309344932121</v>
      </c>
      <c r="F155" s="21">
        <v>0.30627648569522825</v>
      </c>
      <c r="G155" s="11" t="str">
        <f t="shared" si="2"/>
        <v>Intermediate</v>
      </c>
    </row>
    <row r="156" spans="1:7" x14ac:dyDescent="0.3">
      <c r="A156" s="54"/>
      <c r="B156" s="21">
        <v>3</v>
      </c>
      <c r="C156" s="21">
        <v>0.5</v>
      </c>
      <c r="D156" s="21">
        <v>0.6</v>
      </c>
      <c r="E156" s="28">
        <v>1.5019571421127326E-2</v>
      </c>
      <c r="F156" s="21">
        <v>0.37167319047370917</v>
      </c>
      <c r="G156" s="11" t="str">
        <f t="shared" si="2"/>
        <v>Intermediate</v>
      </c>
    </row>
    <row r="157" spans="1:7" x14ac:dyDescent="0.3">
      <c r="A157" s="54"/>
      <c r="B157" s="21">
        <v>4</v>
      </c>
      <c r="C157" s="21">
        <v>0.27272727272727271</v>
      </c>
      <c r="D157" s="21">
        <v>1</v>
      </c>
      <c r="E157" s="28">
        <v>1.7902963916441618E-2</v>
      </c>
      <c r="F157" s="21">
        <v>0.43021007888123808</v>
      </c>
      <c r="G157" s="11" t="str">
        <f t="shared" si="2"/>
        <v>Intermediate</v>
      </c>
    </row>
    <row r="158" spans="1:7" x14ac:dyDescent="0.3">
      <c r="A158" s="54"/>
      <c r="B158" s="21">
        <v>5</v>
      </c>
      <c r="C158" s="21">
        <v>0.5</v>
      </c>
      <c r="D158" s="21">
        <v>0.8</v>
      </c>
      <c r="E158" s="28">
        <v>8.5165921464853828E-3</v>
      </c>
      <c r="F158" s="29">
        <v>0.43617219738216179</v>
      </c>
      <c r="G158" s="12" t="str">
        <f t="shared" si="2"/>
        <v>Intermediate</v>
      </c>
    </row>
    <row r="159" spans="1:7" x14ac:dyDescent="0.3">
      <c r="A159" s="53" t="s">
        <v>23</v>
      </c>
      <c r="B159" s="26">
        <v>1</v>
      </c>
      <c r="C159" s="26">
        <v>0.29545454545454547</v>
      </c>
      <c r="D159" s="26">
        <v>0.6</v>
      </c>
      <c r="E159" s="27">
        <v>2.4670895241333861E-2</v>
      </c>
      <c r="F159" s="26">
        <v>0.30670848023195973</v>
      </c>
      <c r="G159" s="10" t="str">
        <f t="shared" si="2"/>
        <v>Intermediate</v>
      </c>
    </row>
    <row r="160" spans="1:7" x14ac:dyDescent="0.3">
      <c r="A160" s="54"/>
      <c r="B160" s="21">
        <v>2</v>
      </c>
      <c r="C160" s="21">
        <v>0.31818181818181812</v>
      </c>
      <c r="D160" s="21">
        <v>0.6</v>
      </c>
      <c r="E160" s="28">
        <v>0.12243853651245551</v>
      </c>
      <c r="F160" s="21">
        <v>0.34687345156475785</v>
      </c>
      <c r="G160" s="11" t="str">
        <f t="shared" si="2"/>
        <v>Intermediate</v>
      </c>
    </row>
    <row r="161" spans="1:7" x14ac:dyDescent="0.3">
      <c r="A161" s="54"/>
      <c r="B161" s="21">
        <v>3</v>
      </c>
      <c r="C161" s="21">
        <v>0.34090909090909088</v>
      </c>
      <c r="D161" s="21">
        <v>0.4</v>
      </c>
      <c r="E161" s="28">
        <v>7.2813026550678792E-3</v>
      </c>
      <c r="F161" s="21">
        <v>0.2493967978547196</v>
      </c>
      <c r="G161" s="13" t="str">
        <f t="shared" si="2"/>
        <v>Bad</v>
      </c>
    </row>
    <row r="162" spans="1:7" x14ac:dyDescent="0.3">
      <c r="A162" s="54"/>
      <c r="B162" s="21">
        <v>4</v>
      </c>
      <c r="C162" s="21">
        <v>0.81818181818181812</v>
      </c>
      <c r="D162" s="21">
        <v>0.8</v>
      </c>
      <c r="E162" s="28">
        <v>9.3844734419401606E-3</v>
      </c>
      <c r="F162" s="21">
        <v>0.54252209720791944</v>
      </c>
      <c r="G162" s="11" t="str">
        <f t="shared" si="2"/>
        <v>Intermediate</v>
      </c>
    </row>
    <row r="163" spans="1:7" x14ac:dyDescent="0.3">
      <c r="A163" s="54"/>
      <c r="B163" s="21">
        <v>5</v>
      </c>
      <c r="C163" s="21">
        <v>0.45454545454545447</v>
      </c>
      <c r="D163" s="21">
        <v>0.6</v>
      </c>
      <c r="E163" s="28">
        <v>1.5019571421642283E-2</v>
      </c>
      <c r="F163" s="21">
        <v>0.35652167532236556</v>
      </c>
      <c r="G163" s="11" t="str">
        <f t="shared" si="2"/>
        <v>Intermediate</v>
      </c>
    </row>
    <row r="164" spans="1:7" x14ac:dyDescent="0.3">
      <c r="A164" s="54"/>
      <c r="B164" s="21">
        <v>6</v>
      </c>
      <c r="C164" s="21">
        <v>0.25</v>
      </c>
      <c r="D164" s="21">
        <v>1</v>
      </c>
      <c r="E164" s="28">
        <v>1.7902963917226837E-2</v>
      </c>
      <c r="F164" s="21">
        <v>0.42263432130574224</v>
      </c>
      <c r="G164" s="11" t="str">
        <f t="shared" si="2"/>
        <v>Intermediate</v>
      </c>
    </row>
    <row r="165" spans="1:7" x14ac:dyDescent="0.3">
      <c r="A165" s="54"/>
      <c r="B165" s="21">
        <v>7</v>
      </c>
      <c r="C165" s="21">
        <v>0.59090909090909083</v>
      </c>
      <c r="D165" s="21">
        <v>0.6</v>
      </c>
      <c r="E165" s="28">
        <v>1.7573920302622909E-2</v>
      </c>
      <c r="F165" s="21">
        <v>0.40282767040390455</v>
      </c>
      <c r="G165" s="11" t="str">
        <f t="shared" si="2"/>
        <v>Intermediate</v>
      </c>
    </row>
    <row r="166" spans="1:7" x14ac:dyDescent="0.3">
      <c r="A166" s="54"/>
      <c r="B166" s="21">
        <v>8</v>
      </c>
      <c r="C166" s="21">
        <v>0.63636363636363635</v>
      </c>
      <c r="D166" s="21">
        <v>0.6</v>
      </c>
      <c r="E166" s="28">
        <v>1.3685690434163702E-2</v>
      </c>
      <c r="F166" s="21">
        <v>0.41668310893260002</v>
      </c>
      <c r="G166" s="11" t="str">
        <f t="shared" si="2"/>
        <v>Intermediate</v>
      </c>
    </row>
    <row r="167" spans="1:7" x14ac:dyDescent="0.3">
      <c r="A167" s="54"/>
      <c r="B167" s="21">
        <v>9</v>
      </c>
      <c r="C167" s="21">
        <v>6.8181818181818177E-2</v>
      </c>
      <c r="D167" s="21">
        <v>0.8</v>
      </c>
      <c r="E167" s="28">
        <v>1.2916831422169501E-2</v>
      </c>
      <c r="F167" s="21">
        <v>0.29369954986799585</v>
      </c>
      <c r="G167" s="11" t="str">
        <f t="shared" si="2"/>
        <v>Intermediate</v>
      </c>
    </row>
    <row r="168" spans="1:7" x14ac:dyDescent="0.3">
      <c r="A168" s="54"/>
      <c r="B168" s="21">
        <v>10</v>
      </c>
      <c r="C168" s="21">
        <v>0.5</v>
      </c>
      <c r="D168" s="21">
        <v>1</v>
      </c>
      <c r="E168" s="28">
        <v>8.516592147620931E-3</v>
      </c>
      <c r="F168" s="29">
        <v>0.50283886404920697</v>
      </c>
      <c r="G168" s="12" t="str">
        <f t="shared" si="2"/>
        <v>Intermediate</v>
      </c>
    </row>
    <row r="169" spans="1:7" x14ac:dyDescent="0.3">
      <c r="A169" s="53" t="s">
        <v>24</v>
      </c>
      <c r="B169" s="26">
        <v>1</v>
      </c>
      <c r="C169" s="26">
        <v>0.93181818181818188</v>
      </c>
      <c r="D169" s="26">
        <v>0.6</v>
      </c>
      <c r="E169" s="27">
        <v>1.5902800244101751E-2</v>
      </c>
      <c r="F169" s="26">
        <v>0.51590699402076112</v>
      </c>
      <c r="G169" s="10" t="str">
        <f t="shared" si="2"/>
        <v>Intermediate</v>
      </c>
    </row>
    <row r="170" spans="1:7" x14ac:dyDescent="0.3">
      <c r="A170" s="54"/>
      <c r="B170" s="21">
        <v>2</v>
      </c>
      <c r="C170" s="21">
        <v>0.54545454545454541</v>
      </c>
      <c r="D170" s="21">
        <v>0.8</v>
      </c>
      <c r="E170" s="28">
        <v>1.6008243767497037E-2</v>
      </c>
      <c r="F170" s="21">
        <v>0.45382092974068083</v>
      </c>
      <c r="G170" s="11" t="str">
        <f t="shared" si="2"/>
        <v>Intermediate</v>
      </c>
    </row>
    <row r="171" spans="1:7" x14ac:dyDescent="0.3">
      <c r="A171" s="54"/>
      <c r="B171" s="21">
        <v>3</v>
      </c>
      <c r="C171" s="21">
        <v>0.40909090909090906</v>
      </c>
      <c r="D171" s="21">
        <v>0.8</v>
      </c>
      <c r="E171" s="28">
        <v>1.5467634267562938E-2</v>
      </c>
      <c r="F171" s="21">
        <v>0.40818618111949068</v>
      </c>
      <c r="G171" s="11" t="str">
        <f t="shared" si="2"/>
        <v>Intermediate</v>
      </c>
    </row>
    <row r="172" spans="1:7" x14ac:dyDescent="0.3">
      <c r="A172" s="54"/>
      <c r="B172" s="21">
        <v>4</v>
      </c>
      <c r="C172" s="21">
        <v>0.3863636363636363</v>
      </c>
      <c r="D172" s="21">
        <v>0.4</v>
      </c>
      <c r="E172" s="28">
        <v>9.6166519662580722E-3</v>
      </c>
      <c r="F172" s="21">
        <v>0.26532676277663148</v>
      </c>
      <c r="G172" s="11" t="str">
        <f t="shared" si="2"/>
        <v>Intermediate</v>
      </c>
    </row>
    <row r="173" spans="1:7" x14ac:dyDescent="0.3">
      <c r="A173" s="54"/>
      <c r="B173" s="21">
        <v>5</v>
      </c>
      <c r="C173" s="21">
        <v>0.65909090909090895</v>
      </c>
      <c r="D173" s="21">
        <v>0.2</v>
      </c>
      <c r="E173" s="28">
        <v>7.5860755987873984E-3</v>
      </c>
      <c r="F173" s="21">
        <v>0.28889232822989874</v>
      </c>
      <c r="G173" s="11" t="str">
        <f t="shared" si="2"/>
        <v>Intermediate</v>
      </c>
    </row>
    <row r="174" spans="1:7" x14ac:dyDescent="0.3">
      <c r="A174" s="54"/>
      <c r="B174" s="21">
        <v>6</v>
      </c>
      <c r="C174" s="21">
        <v>0.86363636363636365</v>
      </c>
      <c r="D174" s="21">
        <v>0.6</v>
      </c>
      <c r="E174" s="28">
        <v>9.3844734419401606E-3</v>
      </c>
      <c r="F174" s="21">
        <v>0.49100694569276793</v>
      </c>
      <c r="G174" s="11" t="str">
        <f t="shared" si="2"/>
        <v>Intermediate</v>
      </c>
    </row>
    <row r="175" spans="1:7" x14ac:dyDescent="0.3">
      <c r="A175" s="54"/>
      <c r="B175" s="21">
        <v>7</v>
      </c>
      <c r="C175" s="21">
        <v>0.72727272727272718</v>
      </c>
      <c r="D175" s="21">
        <v>0.6</v>
      </c>
      <c r="E175" s="28">
        <v>1.0582464299459601E-2</v>
      </c>
      <c r="F175" s="21">
        <v>0.44595173052406223</v>
      </c>
      <c r="G175" s="11" t="str">
        <f t="shared" si="2"/>
        <v>Intermediate</v>
      </c>
    </row>
    <row r="176" spans="1:7" x14ac:dyDescent="0.3">
      <c r="A176" s="54"/>
      <c r="B176" s="21">
        <v>8</v>
      </c>
      <c r="C176" s="21">
        <v>0.61363636363636354</v>
      </c>
      <c r="D176" s="21">
        <v>0.4</v>
      </c>
      <c r="E176" s="28">
        <v>1.5019571421642283E-2</v>
      </c>
      <c r="F176" s="21">
        <v>0.342885311686002</v>
      </c>
      <c r="G176" s="11" t="str">
        <f t="shared" si="2"/>
        <v>Intermediate</v>
      </c>
    </row>
    <row r="177" spans="1:7" x14ac:dyDescent="0.3">
      <c r="A177" s="54"/>
      <c r="B177" s="21">
        <v>9</v>
      </c>
      <c r="C177" s="21">
        <v>0.40909090909090906</v>
      </c>
      <c r="D177" s="21">
        <v>1</v>
      </c>
      <c r="E177" s="28">
        <v>1.7902963917226837E-2</v>
      </c>
      <c r="F177" s="21">
        <v>0.47566462433604528</v>
      </c>
      <c r="G177" s="11" t="str">
        <f t="shared" si="2"/>
        <v>Intermediate</v>
      </c>
    </row>
    <row r="178" spans="1:7" x14ac:dyDescent="0.3">
      <c r="A178" s="54"/>
      <c r="B178" s="21">
        <v>10</v>
      </c>
      <c r="C178" s="21">
        <v>0.27272727272727271</v>
      </c>
      <c r="D178" s="21">
        <v>0.8</v>
      </c>
      <c r="E178" s="28">
        <v>9.6491806147357331E-3</v>
      </c>
      <c r="F178" s="21">
        <v>0.36079215111400276</v>
      </c>
      <c r="G178" s="11" t="str">
        <f t="shared" si="2"/>
        <v>Intermediate</v>
      </c>
    </row>
    <row r="179" spans="1:7" x14ac:dyDescent="0.3">
      <c r="A179" s="54"/>
      <c r="B179" s="21">
        <v>11</v>
      </c>
      <c r="C179" s="21">
        <v>0.40909090909090906</v>
      </c>
      <c r="D179" s="21">
        <v>0.6</v>
      </c>
      <c r="E179" s="28">
        <v>1.7573920302622909E-2</v>
      </c>
      <c r="F179" s="21">
        <v>0.34222160979784394</v>
      </c>
      <c r="G179" s="11" t="str">
        <f t="shared" si="2"/>
        <v>Intermediate</v>
      </c>
    </row>
    <row r="180" spans="1:7" x14ac:dyDescent="0.3">
      <c r="A180" s="54"/>
      <c r="B180" s="21">
        <v>12</v>
      </c>
      <c r="C180" s="21">
        <v>0.72727272727272718</v>
      </c>
      <c r="D180" s="21">
        <v>0.4</v>
      </c>
      <c r="E180" s="28">
        <v>5.7764711938842759E-3</v>
      </c>
      <c r="F180" s="21">
        <v>0.37768306615553715</v>
      </c>
      <c r="G180" s="11" t="str">
        <f t="shared" si="2"/>
        <v>Intermediate</v>
      </c>
    </row>
    <row r="181" spans="1:7" x14ac:dyDescent="0.3">
      <c r="A181" s="54"/>
      <c r="B181" s="21">
        <v>13</v>
      </c>
      <c r="C181" s="21">
        <v>0.63636363636363635</v>
      </c>
      <c r="D181" s="21">
        <v>0.4</v>
      </c>
      <c r="E181" s="28">
        <v>1.3685690434163702E-2</v>
      </c>
      <c r="F181" s="21">
        <v>0.35001644226593337</v>
      </c>
      <c r="G181" s="11" t="str">
        <f t="shared" si="2"/>
        <v>Intermediate</v>
      </c>
    </row>
    <row r="182" spans="1:7" x14ac:dyDescent="0.3">
      <c r="A182" s="54"/>
      <c r="B182" s="21">
        <v>14</v>
      </c>
      <c r="C182" s="21">
        <v>0.13636363636363635</v>
      </c>
      <c r="D182" s="21">
        <v>0.6</v>
      </c>
      <c r="E182" s="28">
        <v>1.2916831422169501E-2</v>
      </c>
      <c r="F182" s="21">
        <v>0.24976015592860193</v>
      </c>
      <c r="G182" s="13" t="str">
        <f t="shared" si="2"/>
        <v>Bad</v>
      </c>
    </row>
    <row r="183" spans="1:7" x14ac:dyDescent="0.3">
      <c r="A183" s="55"/>
      <c r="B183" s="29">
        <v>15</v>
      </c>
      <c r="C183" s="29">
        <v>0.56818181818181812</v>
      </c>
      <c r="D183" s="29">
        <v>0.8</v>
      </c>
      <c r="E183" s="30">
        <v>8.516592147620931E-3</v>
      </c>
      <c r="F183" s="29">
        <v>0.45889947010981302</v>
      </c>
      <c r="G183" s="12" t="str">
        <f t="shared" si="2"/>
        <v>Intermediate</v>
      </c>
    </row>
    <row r="185" spans="1:7" x14ac:dyDescent="0.3">
      <c r="A185" s="3"/>
    </row>
    <row r="186" spans="1:7" x14ac:dyDescent="0.3">
      <c r="A186" s="3"/>
    </row>
    <row r="187" spans="1:7" x14ac:dyDescent="0.3">
      <c r="A187" s="3"/>
    </row>
    <row r="188" spans="1:7" x14ac:dyDescent="0.3">
      <c r="A188" s="3"/>
    </row>
    <row r="189" spans="1:7" x14ac:dyDescent="0.3">
      <c r="A189" s="3"/>
    </row>
    <row r="190" spans="1:7" x14ac:dyDescent="0.3">
      <c r="A190" s="3"/>
    </row>
    <row r="192" spans="1:7" x14ac:dyDescent="0.3">
      <c r="A192" s="3"/>
    </row>
    <row r="193" spans="1:1" x14ac:dyDescent="0.3">
      <c r="A193" s="3"/>
    </row>
    <row r="194" spans="1:1" x14ac:dyDescent="0.3">
      <c r="A194" s="3"/>
    </row>
    <row r="195" spans="1:1" x14ac:dyDescent="0.3">
      <c r="A195" s="3"/>
    </row>
    <row r="196" spans="1:1" x14ac:dyDescent="0.3">
      <c r="A196" s="3"/>
    </row>
    <row r="197" spans="1:1" x14ac:dyDescent="0.3">
      <c r="A197" s="3"/>
    </row>
    <row r="198" spans="1:1" x14ac:dyDescent="0.3">
      <c r="A198" s="3"/>
    </row>
    <row r="199" spans="1:1" x14ac:dyDescent="0.3">
      <c r="A199" s="3"/>
    </row>
    <row r="200" spans="1:1" x14ac:dyDescent="0.3">
      <c r="A200" s="3"/>
    </row>
    <row r="201" spans="1:1" x14ac:dyDescent="0.3">
      <c r="A201" s="3"/>
    </row>
    <row r="202" spans="1:1" x14ac:dyDescent="0.3">
      <c r="A202" s="3"/>
    </row>
    <row r="204" spans="1:1" x14ac:dyDescent="0.3">
      <c r="A204" s="3"/>
    </row>
    <row r="205" spans="1:1" x14ac:dyDescent="0.3">
      <c r="A205" s="3"/>
    </row>
    <row r="206" spans="1:1" x14ac:dyDescent="0.3">
      <c r="A206" s="3"/>
    </row>
    <row r="207" spans="1:1" x14ac:dyDescent="0.3">
      <c r="A207" s="3"/>
    </row>
    <row r="208" spans="1:1" x14ac:dyDescent="0.3">
      <c r="A208" s="3"/>
    </row>
    <row r="209" spans="1:1" x14ac:dyDescent="0.3">
      <c r="A209" s="3"/>
    </row>
    <row r="210" spans="1:1" x14ac:dyDescent="0.3">
      <c r="A210" s="3"/>
    </row>
    <row r="211" spans="1:1" x14ac:dyDescent="0.3">
      <c r="A211" s="3"/>
    </row>
    <row r="212" spans="1:1" x14ac:dyDescent="0.3">
      <c r="A212" s="3"/>
    </row>
    <row r="213" spans="1:1" x14ac:dyDescent="0.3">
      <c r="A213" s="3"/>
    </row>
    <row r="214" spans="1:1" x14ac:dyDescent="0.3">
      <c r="A214" s="3"/>
    </row>
    <row r="215" spans="1:1" x14ac:dyDescent="0.3">
      <c r="A215" s="3"/>
    </row>
    <row r="216" spans="1:1" x14ac:dyDescent="0.3">
      <c r="A216" s="3"/>
    </row>
    <row r="217" spans="1:1" x14ac:dyDescent="0.3">
      <c r="A217" s="3"/>
    </row>
    <row r="218" spans="1:1" x14ac:dyDescent="0.3">
      <c r="A218" s="3"/>
    </row>
    <row r="219" spans="1:1" x14ac:dyDescent="0.3">
      <c r="A219" s="3"/>
    </row>
    <row r="221" spans="1:1" x14ac:dyDescent="0.3">
      <c r="A221" s="3"/>
    </row>
    <row r="222" spans="1:1" x14ac:dyDescent="0.3">
      <c r="A222" s="3"/>
    </row>
    <row r="223" spans="1:1" x14ac:dyDescent="0.3">
      <c r="A223" s="3"/>
    </row>
    <row r="224" spans="1:1" x14ac:dyDescent="0.3">
      <c r="A224" s="3"/>
    </row>
    <row r="225" spans="1:1" x14ac:dyDescent="0.3">
      <c r="A225" s="3"/>
    </row>
    <row r="226" spans="1:1" x14ac:dyDescent="0.3">
      <c r="A226" s="3"/>
    </row>
    <row r="228" spans="1:1" x14ac:dyDescent="0.3">
      <c r="A228" s="3"/>
    </row>
    <row r="229" spans="1:1" x14ac:dyDescent="0.3">
      <c r="A229" s="3"/>
    </row>
    <row r="230" spans="1:1" x14ac:dyDescent="0.3">
      <c r="A230" s="3"/>
    </row>
    <row r="231" spans="1:1" x14ac:dyDescent="0.3">
      <c r="A231" s="3"/>
    </row>
    <row r="232" spans="1:1" x14ac:dyDescent="0.3">
      <c r="A232" s="3"/>
    </row>
    <row r="233" spans="1:1" x14ac:dyDescent="0.3">
      <c r="A233" s="3"/>
    </row>
    <row r="234" spans="1:1" x14ac:dyDescent="0.3">
      <c r="A234" s="3"/>
    </row>
    <row r="235" spans="1:1" x14ac:dyDescent="0.3">
      <c r="A235" s="3"/>
    </row>
    <row r="236" spans="1:1" x14ac:dyDescent="0.3">
      <c r="A236" s="3"/>
    </row>
    <row r="237" spans="1:1" x14ac:dyDescent="0.3">
      <c r="A237" s="3"/>
    </row>
    <row r="238" spans="1:1" x14ac:dyDescent="0.3">
      <c r="A238" s="3"/>
    </row>
    <row r="240" spans="1:1" x14ac:dyDescent="0.3">
      <c r="A240" s="3"/>
    </row>
    <row r="241" spans="1:1" x14ac:dyDescent="0.3">
      <c r="A241" s="3"/>
    </row>
    <row r="242" spans="1:1" x14ac:dyDescent="0.3">
      <c r="A242" s="3"/>
    </row>
    <row r="243" spans="1:1" x14ac:dyDescent="0.3">
      <c r="A243" s="3"/>
    </row>
    <row r="244" spans="1:1" x14ac:dyDescent="0.3">
      <c r="A244" s="3"/>
    </row>
    <row r="245" spans="1:1" x14ac:dyDescent="0.3">
      <c r="A245" s="3"/>
    </row>
    <row r="246" spans="1:1" x14ac:dyDescent="0.3">
      <c r="A246" s="3"/>
    </row>
    <row r="247" spans="1:1" x14ac:dyDescent="0.3">
      <c r="A247" s="3"/>
    </row>
    <row r="248" spans="1:1" x14ac:dyDescent="0.3">
      <c r="A248" s="3"/>
    </row>
    <row r="249" spans="1:1" x14ac:dyDescent="0.3">
      <c r="A249" s="3"/>
    </row>
    <row r="250" spans="1:1" x14ac:dyDescent="0.3">
      <c r="A250" s="3"/>
    </row>
    <row r="251" spans="1:1" x14ac:dyDescent="0.3">
      <c r="A251" s="3"/>
    </row>
    <row r="252" spans="1:1" x14ac:dyDescent="0.3">
      <c r="A252" s="3"/>
    </row>
    <row r="253" spans="1:1" x14ac:dyDescent="0.3">
      <c r="A253" s="3"/>
    </row>
    <row r="254" spans="1:1" x14ac:dyDescent="0.3">
      <c r="A254" s="3"/>
    </row>
    <row r="255" spans="1:1" x14ac:dyDescent="0.3">
      <c r="A255" s="3"/>
    </row>
  </sheetData>
  <mergeCells count="23">
    <mergeCell ref="A154:A158"/>
    <mergeCell ref="A159:A168"/>
    <mergeCell ref="A169:A183"/>
    <mergeCell ref="F2:F3"/>
    <mergeCell ref="G2:G3"/>
    <mergeCell ref="A94:A98"/>
    <mergeCell ref="A99:A108"/>
    <mergeCell ref="A109:A123"/>
    <mergeCell ref="A124:A128"/>
    <mergeCell ref="A129:A138"/>
    <mergeCell ref="A139:A153"/>
    <mergeCell ref="A34:A38"/>
    <mergeCell ref="A39:A48"/>
    <mergeCell ref="A49:A63"/>
    <mergeCell ref="A64:A68"/>
    <mergeCell ref="A69:A78"/>
    <mergeCell ref="A79:A93"/>
    <mergeCell ref="A2:A3"/>
    <mergeCell ref="B2:B3"/>
    <mergeCell ref="C2:E2"/>
    <mergeCell ref="A4:A8"/>
    <mergeCell ref="A9:A18"/>
    <mergeCell ref="A19:A3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446DF-0C28-48CA-B472-FAE059F02E1D}">
  <dimension ref="A1:I52"/>
  <sheetViews>
    <sheetView workbookViewId="0">
      <selection activeCell="L16" sqref="L16"/>
    </sheetView>
  </sheetViews>
  <sheetFormatPr defaultRowHeight="14.4" x14ac:dyDescent="0.3"/>
  <cols>
    <col min="1" max="1" width="9.5546875" bestFit="1" customWidth="1"/>
    <col min="2" max="2" width="6.5546875" customWidth="1"/>
    <col min="3" max="3" width="11.21875" bestFit="1" customWidth="1"/>
    <col min="4" max="4" width="14.77734375" customWidth="1"/>
    <col min="5" max="5" width="7.109375" bestFit="1" customWidth="1"/>
    <col min="6" max="6" width="11.21875" bestFit="1" customWidth="1"/>
    <col min="7" max="7" width="18.109375" customWidth="1"/>
    <col min="8" max="8" width="40" bestFit="1" customWidth="1"/>
  </cols>
  <sheetData>
    <row r="1" spans="1:9" x14ac:dyDescent="0.3">
      <c r="A1" s="51" t="s">
        <v>0</v>
      </c>
      <c r="B1" s="50" t="s">
        <v>39</v>
      </c>
      <c r="C1" s="50"/>
      <c r="D1" s="50"/>
      <c r="E1" s="50" t="s">
        <v>40</v>
      </c>
      <c r="F1" s="50"/>
      <c r="G1" s="50"/>
      <c r="H1" s="52" t="s">
        <v>44</v>
      </c>
      <c r="I1" s="44" t="s">
        <v>41</v>
      </c>
    </row>
    <row r="2" spans="1:9" x14ac:dyDescent="0.3">
      <c r="A2" s="51"/>
      <c r="B2" s="18" t="s">
        <v>36</v>
      </c>
      <c r="C2" s="19" t="s">
        <v>37</v>
      </c>
      <c r="D2" s="20" t="s">
        <v>38</v>
      </c>
      <c r="E2" s="18" t="s">
        <v>36</v>
      </c>
      <c r="F2" s="19" t="s">
        <v>37</v>
      </c>
      <c r="G2" s="20" t="s">
        <v>38</v>
      </c>
      <c r="H2" s="52"/>
      <c r="I2" s="44"/>
    </row>
    <row r="3" spans="1:9" x14ac:dyDescent="0.3">
      <c r="A3" s="21" t="s">
        <v>5</v>
      </c>
      <c r="B3" s="21">
        <v>0</v>
      </c>
      <c r="C3" s="21">
        <v>2501.75</v>
      </c>
      <c r="D3" s="21">
        <v>0</v>
      </c>
      <c r="E3" s="23">
        <v>0</v>
      </c>
      <c r="F3" s="23">
        <v>1</v>
      </c>
      <c r="G3" s="23">
        <v>0</v>
      </c>
      <c r="H3" s="22">
        <f t="shared" ref="H3:H20" si="0">G3-E3</f>
        <v>0</v>
      </c>
      <c r="I3">
        <v>1</v>
      </c>
    </row>
    <row r="4" spans="1:9" x14ac:dyDescent="0.3">
      <c r="A4" s="21" t="s">
        <v>6</v>
      </c>
      <c r="B4" s="21">
        <v>0</v>
      </c>
      <c r="C4" s="21">
        <v>2501.75</v>
      </c>
      <c r="D4" s="21">
        <v>0</v>
      </c>
      <c r="E4" s="23">
        <v>0</v>
      </c>
      <c r="F4" s="23">
        <f>F3/(F3+E3+G3)</f>
        <v>1</v>
      </c>
      <c r="G4" s="23">
        <f>G3/(G3+F3+E3)</f>
        <v>0</v>
      </c>
      <c r="H4" s="22">
        <f t="shared" si="0"/>
        <v>0</v>
      </c>
      <c r="I4">
        <v>1</v>
      </c>
    </row>
    <row r="5" spans="1:9" x14ac:dyDescent="0.3">
      <c r="A5" s="21" t="s">
        <v>7</v>
      </c>
      <c r="B5" s="21">
        <v>0</v>
      </c>
      <c r="C5" s="21">
        <v>2501.75</v>
      </c>
      <c r="D5" s="21">
        <v>0</v>
      </c>
      <c r="E5" s="23">
        <v>0</v>
      </c>
      <c r="F5" s="23">
        <v>1</v>
      </c>
      <c r="G5" s="23">
        <v>0</v>
      </c>
      <c r="H5" s="22">
        <f t="shared" si="0"/>
        <v>0</v>
      </c>
      <c r="I5">
        <v>1</v>
      </c>
    </row>
    <row r="6" spans="1:9" x14ac:dyDescent="0.3">
      <c r="A6" s="21" t="s">
        <v>8</v>
      </c>
      <c r="B6" s="21">
        <v>0</v>
      </c>
      <c r="C6" s="21">
        <v>2501.75</v>
      </c>
      <c r="D6" s="21">
        <v>0</v>
      </c>
      <c r="E6" s="23">
        <v>0</v>
      </c>
      <c r="F6" s="23">
        <v>1</v>
      </c>
      <c r="G6" s="23">
        <v>0</v>
      </c>
      <c r="H6" s="22">
        <f t="shared" si="0"/>
        <v>0</v>
      </c>
      <c r="I6">
        <v>1</v>
      </c>
    </row>
    <row r="7" spans="1:9" x14ac:dyDescent="0.3">
      <c r="A7" s="21" t="s">
        <v>10</v>
      </c>
      <c r="B7" s="21">
        <v>0</v>
      </c>
      <c r="C7" s="21">
        <v>2501.75</v>
      </c>
      <c r="D7" s="21">
        <v>0</v>
      </c>
      <c r="E7" s="23">
        <v>0</v>
      </c>
      <c r="F7" s="23">
        <v>1</v>
      </c>
      <c r="G7" s="23">
        <v>0</v>
      </c>
      <c r="H7" s="22">
        <f t="shared" si="0"/>
        <v>0</v>
      </c>
      <c r="I7">
        <v>1</v>
      </c>
    </row>
    <row r="8" spans="1:9" x14ac:dyDescent="0.3">
      <c r="A8" s="21" t="s">
        <v>11</v>
      </c>
      <c r="B8" s="21">
        <v>0</v>
      </c>
      <c r="C8" s="21">
        <v>2608.27</v>
      </c>
      <c r="D8" s="21">
        <v>0</v>
      </c>
      <c r="E8" s="23">
        <v>0</v>
      </c>
      <c r="F8" s="23">
        <v>1</v>
      </c>
      <c r="G8" s="23">
        <v>0</v>
      </c>
      <c r="H8" s="22">
        <f t="shared" si="0"/>
        <v>0</v>
      </c>
      <c r="I8">
        <v>1</v>
      </c>
    </row>
    <row r="9" spans="1:9" x14ac:dyDescent="0.3">
      <c r="A9" s="21" t="s">
        <v>12</v>
      </c>
      <c r="B9" s="21">
        <v>0</v>
      </c>
      <c r="C9" s="21">
        <v>2608.2699999999995</v>
      </c>
      <c r="D9" s="21">
        <v>0</v>
      </c>
      <c r="E9" s="23">
        <v>0</v>
      </c>
      <c r="F9" s="23">
        <v>1</v>
      </c>
      <c r="G9" s="23">
        <v>0</v>
      </c>
      <c r="H9" s="22">
        <f t="shared" si="0"/>
        <v>0</v>
      </c>
      <c r="I9">
        <v>1</v>
      </c>
    </row>
    <row r="10" spans="1:9" x14ac:dyDescent="0.3">
      <c r="A10" s="21" t="s">
        <v>13</v>
      </c>
      <c r="B10" s="21">
        <v>0</v>
      </c>
      <c r="C10" s="21">
        <v>2608.27</v>
      </c>
      <c r="D10" s="21">
        <v>0</v>
      </c>
      <c r="E10" s="23">
        <v>0</v>
      </c>
      <c r="F10" s="23">
        <v>1</v>
      </c>
      <c r="G10" s="23">
        <v>0</v>
      </c>
      <c r="H10" s="22">
        <f t="shared" si="0"/>
        <v>0</v>
      </c>
      <c r="I10">
        <v>1</v>
      </c>
    </row>
    <row r="11" spans="1:9" x14ac:dyDescent="0.3">
      <c r="A11" s="21" t="s">
        <v>18</v>
      </c>
      <c r="B11" s="21">
        <v>0</v>
      </c>
      <c r="C11" s="21">
        <v>2608.2699999999995</v>
      </c>
      <c r="D11" s="21">
        <v>0</v>
      </c>
      <c r="E11" s="23">
        <v>0</v>
      </c>
      <c r="F11" s="23">
        <v>1</v>
      </c>
      <c r="G11" s="23">
        <v>0</v>
      </c>
      <c r="H11" s="22">
        <f t="shared" si="0"/>
        <v>0</v>
      </c>
      <c r="I11">
        <v>1</v>
      </c>
    </row>
    <row r="12" spans="1:9" x14ac:dyDescent="0.3">
      <c r="A12" s="21" t="s">
        <v>21</v>
      </c>
      <c r="B12" s="21">
        <v>0</v>
      </c>
      <c r="C12" s="21">
        <v>2545</v>
      </c>
      <c r="D12" s="21">
        <v>0</v>
      </c>
      <c r="E12" s="23">
        <v>0</v>
      </c>
      <c r="F12" s="23">
        <v>1</v>
      </c>
      <c r="G12" s="23">
        <v>0</v>
      </c>
      <c r="H12" s="22">
        <f t="shared" si="0"/>
        <v>0</v>
      </c>
      <c r="I12">
        <v>1</v>
      </c>
    </row>
    <row r="13" spans="1:9" x14ac:dyDescent="0.3">
      <c r="A13" s="21" t="s">
        <v>16</v>
      </c>
      <c r="B13" s="21">
        <v>11.27</v>
      </c>
      <c r="C13" s="21">
        <v>2597</v>
      </c>
      <c r="D13" s="21">
        <v>0</v>
      </c>
      <c r="E13" s="23">
        <v>4.3208716888972383E-3</v>
      </c>
      <c r="F13" s="23">
        <v>0.99567912831110272</v>
      </c>
      <c r="G13" s="23">
        <v>0</v>
      </c>
      <c r="H13" s="22">
        <f t="shared" si="0"/>
        <v>-4.3208716888972383E-3</v>
      </c>
      <c r="I13">
        <v>2</v>
      </c>
    </row>
    <row r="14" spans="1:9" x14ac:dyDescent="0.3">
      <c r="A14" s="21" t="s">
        <v>24</v>
      </c>
      <c r="B14" s="21">
        <v>56</v>
      </c>
      <c r="C14" s="21">
        <v>2489</v>
      </c>
      <c r="D14" s="21">
        <v>0</v>
      </c>
      <c r="E14" s="23">
        <v>2.2003929273084481E-2</v>
      </c>
      <c r="F14" s="23">
        <v>0.97799607072691552</v>
      </c>
      <c r="G14" s="23">
        <v>0</v>
      </c>
      <c r="H14" s="22">
        <f t="shared" si="0"/>
        <v>-2.2003929273084481E-2</v>
      </c>
      <c r="I14">
        <v>3</v>
      </c>
    </row>
    <row r="15" spans="1:9" x14ac:dyDescent="0.3">
      <c r="A15" s="21" t="s">
        <v>23</v>
      </c>
      <c r="B15" s="21">
        <v>73</v>
      </c>
      <c r="C15" s="21">
        <v>2472</v>
      </c>
      <c r="D15" s="21">
        <v>0</v>
      </c>
      <c r="E15" s="23">
        <v>2.8683693516699412E-2</v>
      </c>
      <c r="F15" s="23">
        <v>0.97131630648330058</v>
      </c>
      <c r="G15" s="23">
        <v>0</v>
      </c>
      <c r="H15" s="22">
        <f t="shared" si="0"/>
        <v>-2.8683693516699412E-2</v>
      </c>
      <c r="I15">
        <v>4</v>
      </c>
    </row>
    <row r="16" spans="1:9" x14ac:dyDescent="0.3">
      <c r="A16" s="21" t="s">
        <v>9</v>
      </c>
      <c r="B16" s="21">
        <v>131.5</v>
      </c>
      <c r="C16" s="21">
        <v>2370.25</v>
      </c>
      <c r="D16" s="21">
        <v>0</v>
      </c>
      <c r="E16" s="23">
        <v>5.2563205755970822E-2</v>
      </c>
      <c r="F16" s="23">
        <v>0.94743679424402916</v>
      </c>
      <c r="G16" s="23">
        <v>0</v>
      </c>
      <c r="H16" s="22">
        <f t="shared" si="0"/>
        <v>-5.2563205755970822E-2</v>
      </c>
      <c r="I16">
        <v>5</v>
      </c>
    </row>
    <row r="17" spans="1:9" x14ac:dyDescent="0.3">
      <c r="A17" s="21" t="s">
        <v>20</v>
      </c>
      <c r="B17" s="21">
        <v>188</v>
      </c>
      <c r="C17" s="21">
        <v>2357</v>
      </c>
      <c r="D17" s="21">
        <v>0</v>
      </c>
      <c r="E17" s="23">
        <v>7.3870333988212175E-2</v>
      </c>
      <c r="F17" s="23">
        <v>0.92612966601178781</v>
      </c>
      <c r="G17" s="23">
        <v>0</v>
      </c>
      <c r="H17" s="22">
        <f t="shared" si="0"/>
        <v>-7.3870333988212175E-2</v>
      </c>
      <c r="I17">
        <v>6</v>
      </c>
    </row>
    <row r="18" spans="1:9" x14ac:dyDescent="0.3">
      <c r="A18" s="21" t="s">
        <v>17</v>
      </c>
      <c r="B18" s="21">
        <v>207.76</v>
      </c>
      <c r="C18" s="21">
        <v>2400.5100000000002</v>
      </c>
      <c r="D18" s="21">
        <v>0</v>
      </c>
      <c r="E18" s="23">
        <v>7.9654330264888204E-2</v>
      </c>
      <c r="F18" s="23">
        <v>0.92034566973511167</v>
      </c>
      <c r="G18" s="23">
        <v>0</v>
      </c>
      <c r="H18" s="22">
        <f t="shared" si="0"/>
        <v>-7.9654330264888204E-2</v>
      </c>
      <c r="I18">
        <v>7</v>
      </c>
    </row>
    <row r="19" spans="1:9" x14ac:dyDescent="0.3">
      <c r="A19" s="21" t="s">
        <v>19</v>
      </c>
      <c r="B19" s="21">
        <v>404</v>
      </c>
      <c r="C19" s="21">
        <v>2141</v>
      </c>
      <c r="D19" s="21">
        <v>0</v>
      </c>
      <c r="E19" s="23">
        <v>0.15874263261296659</v>
      </c>
      <c r="F19" s="23">
        <v>0.84125736738703338</v>
      </c>
      <c r="G19" s="23">
        <v>0</v>
      </c>
      <c r="H19" s="22">
        <f t="shared" si="0"/>
        <v>-0.15874263261296659</v>
      </c>
      <c r="I19">
        <v>8</v>
      </c>
    </row>
    <row r="20" spans="1:9" x14ac:dyDescent="0.3">
      <c r="A20" s="21" t="s">
        <v>22</v>
      </c>
      <c r="B20" s="21">
        <v>722</v>
      </c>
      <c r="C20" s="21">
        <v>1823</v>
      </c>
      <c r="D20" s="21">
        <v>0</v>
      </c>
      <c r="E20" s="23">
        <v>0.28369351669941062</v>
      </c>
      <c r="F20" s="23">
        <v>0.71630648330058944</v>
      </c>
      <c r="G20" s="23">
        <v>0</v>
      </c>
      <c r="H20" s="22">
        <f t="shared" si="0"/>
        <v>-0.28369351669941062</v>
      </c>
      <c r="I20">
        <v>9</v>
      </c>
    </row>
    <row r="21" spans="1:9" x14ac:dyDescent="0.3">
      <c r="A21" s="21"/>
      <c r="B21" s="21"/>
      <c r="C21" s="21"/>
      <c r="D21" s="21"/>
      <c r="E21" s="21"/>
      <c r="F21" s="21"/>
      <c r="G21" s="21"/>
    </row>
    <row r="22" spans="1:9" x14ac:dyDescent="0.3">
      <c r="A22" s="21"/>
      <c r="B22" s="21"/>
      <c r="C22" s="21"/>
      <c r="D22" s="21"/>
      <c r="E22" s="21"/>
      <c r="F22" s="21"/>
      <c r="G22" s="21"/>
    </row>
    <row r="23" spans="1:9" x14ac:dyDescent="0.3">
      <c r="A23" s="21"/>
      <c r="B23" s="21"/>
      <c r="C23" s="21"/>
      <c r="D23" s="21"/>
      <c r="E23" s="21"/>
      <c r="F23" s="21"/>
      <c r="G23" s="21"/>
    </row>
    <row r="24" spans="1:9" x14ac:dyDescent="0.3">
      <c r="A24" s="21"/>
      <c r="B24" s="21"/>
      <c r="C24" s="21"/>
      <c r="D24" s="21"/>
      <c r="E24" s="21"/>
      <c r="F24" s="21"/>
      <c r="G24" s="21"/>
    </row>
    <row r="25" spans="1:9" x14ac:dyDescent="0.3">
      <c r="A25" s="21"/>
      <c r="B25" s="21"/>
      <c r="C25" s="21"/>
      <c r="D25" s="21"/>
      <c r="E25" s="21"/>
      <c r="F25" s="21"/>
      <c r="G25" s="21"/>
    </row>
    <row r="26" spans="1:9" x14ac:dyDescent="0.3">
      <c r="A26" s="21"/>
      <c r="B26" s="21"/>
      <c r="C26" s="21"/>
      <c r="D26" s="21"/>
      <c r="E26" s="21"/>
      <c r="F26" s="21"/>
      <c r="G26" s="21"/>
    </row>
    <row r="27" spans="1:9" x14ac:dyDescent="0.3">
      <c r="A27" s="21"/>
      <c r="B27" s="21"/>
      <c r="C27" s="21"/>
      <c r="D27" s="21"/>
      <c r="E27" s="21"/>
      <c r="F27" s="21"/>
      <c r="G27" s="21"/>
    </row>
    <row r="28" spans="1:9" x14ac:dyDescent="0.3">
      <c r="A28" s="21"/>
      <c r="B28" s="21"/>
      <c r="C28" s="21"/>
      <c r="D28" s="21"/>
      <c r="E28" s="21"/>
      <c r="F28" s="21"/>
      <c r="G28" s="21"/>
    </row>
    <row r="29" spans="1:9" x14ac:dyDescent="0.3">
      <c r="A29" s="21"/>
      <c r="B29" s="21"/>
      <c r="C29" s="21"/>
      <c r="D29" s="21"/>
      <c r="E29" s="21"/>
      <c r="F29" s="21"/>
      <c r="G29" s="21"/>
    </row>
    <row r="30" spans="1:9" x14ac:dyDescent="0.3">
      <c r="A30" s="21"/>
      <c r="B30" s="21"/>
      <c r="C30" s="21"/>
      <c r="D30" s="21"/>
      <c r="E30" s="21"/>
      <c r="F30" s="21"/>
      <c r="G30" s="21"/>
    </row>
    <row r="31" spans="1:9" x14ac:dyDescent="0.3">
      <c r="A31" s="21"/>
      <c r="B31" s="21"/>
      <c r="C31" s="21"/>
      <c r="D31" s="21"/>
      <c r="E31" s="21"/>
      <c r="F31" s="21"/>
      <c r="G31" s="21"/>
    </row>
    <row r="32" spans="1:9" x14ac:dyDescent="0.3">
      <c r="A32" s="21"/>
      <c r="B32" s="21"/>
      <c r="C32" s="21"/>
      <c r="D32" s="21"/>
      <c r="E32" s="21"/>
      <c r="F32" s="21"/>
      <c r="G32" s="21"/>
    </row>
    <row r="33" spans="1:7" x14ac:dyDescent="0.3">
      <c r="A33" s="21"/>
      <c r="B33" s="21"/>
      <c r="C33" s="21"/>
      <c r="D33" s="21"/>
      <c r="E33" s="21"/>
      <c r="F33" s="21"/>
      <c r="G33" s="21"/>
    </row>
    <row r="34" spans="1:7" x14ac:dyDescent="0.3">
      <c r="A34" s="21"/>
      <c r="B34" s="21"/>
      <c r="C34" s="21"/>
      <c r="D34" s="21"/>
      <c r="E34" s="21"/>
      <c r="F34" s="21"/>
      <c r="G34" s="21"/>
    </row>
    <row r="35" spans="1:7" x14ac:dyDescent="0.3">
      <c r="A35" s="21"/>
      <c r="B35" s="21"/>
      <c r="C35" s="21"/>
      <c r="D35" s="21"/>
      <c r="E35" s="21"/>
      <c r="F35" s="21"/>
      <c r="G35" s="21"/>
    </row>
    <row r="36" spans="1:7" x14ac:dyDescent="0.3">
      <c r="A36" s="21"/>
      <c r="B36" s="21"/>
      <c r="C36" s="21"/>
      <c r="D36" s="21"/>
      <c r="E36" s="21"/>
      <c r="F36" s="21"/>
      <c r="G36" s="21"/>
    </row>
    <row r="37" spans="1:7" x14ac:dyDescent="0.3">
      <c r="A37" s="21"/>
      <c r="B37" s="21"/>
      <c r="C37" s="21"/>
      <c r="D37" s="21"/>
      <c r="E37" s="21"/>
      <c r="F37" s="21"/>
      <c r="G37" s="21"/>
    </row>
    <row r="38" spans="1:7" x14ac:dyDescent="0.3">
      <c r="A38" s="21"/>
      <c r="B38" s="21"/>
      <c r="C38" s="21"/>
      <c r="D38" s="21"/>
      <c r="E38" s="21"/>
      <c r="F38" s="21"/>
      <c r="G38" s="21"/>
    </row>
    <row r="39" spans="1:7" x14ac:dyDescent="0.3">
      <c r="A39" s="21"/>
      <c r="B39" s="21"/>
      <c r="C39" s="21"/>
      <c r="D39" s="21"/>
      <c r="E39" s="21"/>
      <c r="F39" s="21"/>
      <c r="G39" s="21"/>
    </row>
    <row r="40" spans="1:7" x14ac:dyDescent="0.3">
      <c r="A40" s="21"/>
      <c r="B40" s="21"/>
      <c r="C40" s="21"/>
      <c r="D40" s="21"/>
      <c r="E40" s="21"/>
      <c r="F40" s="21"/>
      <c r="G40" s="21"/>
    </row>
    <row r="41" spans="1:7" x14ac:dyDescent="0.3">
      <c r="A41" s="21"/>
      <c r="B41" s="21"/>
      <c r="C41" s="21"/>
      <c r="D41" s="21"/>
      <c r="E41" s="21"/>
      <c r="F41" s="21"/>
      <c r="G41" s="21"/>
    </row>
    <row r="42" spans="1:7" x14ac:dyDescent="0.3">
      <c r="A42" s="21"/>
      <c r="B42" s="21"/>
      <c r="C42" s="21"/>
      <c r="D42" s="21"/>
      <c r="E42" s="21"/>
      <c r="F42" s="21"/>
      <c r="G42" s="21"/>
    </row>
    <row r="43" spans="1:7" x14ac:dyDescent="0.3">
      <c r="A43" s="21"/>
      <c r="B43" s="21"/>
      <c r="C43" s="21"/>
      <c r="D43" s="21"/>
      <c r="E43" s="21"/>
      <c r="F43" s="21"/>
      <c r="G43" s="21"/>
    </row>
    <row r="44" spans="1:7" x14ac:dyDescent="0.3">
      <c r="A44" s="21"/>
      <c r="B44" s="21"/>
      <c r="C44" s="21"/>
      <c r="D44" s="21"/>
      <c r="E44" s="21"/>
      <c r="F44" s="21"/>
      <c r="G44" s="21"/>
    </row>
    <row r="45" spans="1:7" x14ac:dyDescent="0.3">
      <c r="A45" s="21"/>
      <c r="B45" s="21"/>
      <c r="C45" s="21"/>
      <c r="D45" s="21"/>
      <c r="E45" s="21"/>
      <c r="F45" s="21"/>
      <c r="G45" s="21"/>
    </row>
    <row r="46" spans="1:7" x14ac:dyDescent="0.3">
      <c r="A46" s="21"/>
      <c r="B46" s="21"/>
      <c r="C46" s="21"/>
      <c r="D46" s="21"/>
      <c r="E46" s="21"/>
      <c r="F46" s="21"/>
      <c r="G46" s="21"/>
    </row>
    <row r="47" spans="1:7" x14ac:dyDescent="0.3">
      <c r="A47" s="21"/>
      <c r="B47" s="21"/>
      <c r="C47" s="21"/>
      <c r="D47" s="21"/>
      <c r="E47" s="21"/>
      <c r="F47" s="21"/>
      <c r="G47" s="21"/>
    </row>
    <row r="48" spans="1:7" x14ac:dyDescent="0.3">
      <c r="A48" s="21"/>
      <c r="B48" s="21"/>
      <c r="C48" s="21"/>
      <c r="D48" s="21"/>
      <c r="E48" s="21"/>
      <c r="F48" s="21"/>
      <c r="G48" s="21"/>
    </row>
    <row r="49" spans="1:7" x14ac:dyDescent="0.3">
      <c r="A49" s="21"/>
      <c r="B49" s="21"/>
      <c r="C49" s="21"/>
      <c r="D49" s="21"/>
      <c r="E49" s="21"/>
      <c r="F49" s="21"/>
      <c r="G49" s="21"/>
    </row>
    <row r="50" spans="1:7" x14ac:dyDescent="0.3">
      <c r="A50" s="21"/>
      <c r="B50" s="21"/>
      <c r="C50" s="21"/>
      <c r="D50" s="21"/>
      <c r="E50" s="21"/>
      <c r="F50" s="21"/>
      <c r="G50" s="21"/>
    </row>
    <row r="51" spans="1:7" x14ac:dyDescent="0.3">
      <c r="A51" s="21"/>
      <c r="B51" s="21"/>
      <c r="C51" s="21"/>
      <c r="D51" s="21"/>
      <c r="E51" s="21"/>
      <c r="F51" s="21"/>
      <c r="G51" s="21"/>
    </row>
    <row r="52" spans="1:7" x14ac:dyDescent="0.3">
      <c r="A52" s="21"/>
      <c r="B52" s="21"/>
      <c r="C52" s="21"/>
      <c r="D52" s="21"/>
      <c r="E52" s="21"/>
      <c r="F52" s="21"/>
      <c r="G52" s="21"/>
    </row>
  </sheetData>
  <mergeCells count="5">
    <mergeCell ref="A1:A2"/>
    <mergeCell ref="B1:D1"/>
    <mergeCell ref="E1:G1"/>
    <mergeCell ref="H1:H2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Christoph_sheet</vt:lpstr>
      <vt:lpstr>Output1.1</vt:lpstr>
      <vt:lpstr>Output1.2</vt:lpstr>
      <vt:lpstr>Output1.3</vt:lpstr>
      <vt:lpstr>Output1.4</vt:lpstr>
      <vt:lpstr>Output1.5</vt:lpstr>
      <vt:lpstr>Sorted_Output1.5</vt:lpstr>
      <vt:lpstr>Output1.6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Krishnanunni Thara Suresh Kumar</dc:creator>
  <cp:lastModifiedBy>Krishnanunni Thara Suresh Kumar</cp:lastModifiedBy>
  <dcterms:created xsi:type="dcterms:W3CDTF">2025-07-24T13:03:19Z</dcterms:created>
  <dcterms:modified xsi:type="dcterms:W3CDTF">2025-08-20T09:46:23Z</dcterms:modified>
</cp:coreProperties>
</file>